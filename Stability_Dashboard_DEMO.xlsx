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abe\Downloads\"/>
    </mc:Choice>
  </mc:AlternateContent>
  <xr:revisionPtr revIDLastSave="0" documentId="13_ncr:1_{1AB5D837-AF72-4048-91E7-F39347F06815}" xr6:coauthVersionLast="47" xr6:coauthVersionMax="47" xr10:uidLastSave="{00000000-0000-0000-0000-000000000000}"/>
  <bookViews>
    <workbookView xWindow="-28920" yWindow="-45" windowWidth="29040" windowHeight="15720" tabRatio="500" activeTab="2" xr2:uid="{00000000-000D-0000-FFFF-FFFF00000000}"/>
  </bookViews>
  <sheets>
    <sheet name="WEEKLY PULL-OUT SCHEDULE" sheetId="1" r:id="rId1"/>
    <sheet name="INVOICE &amp; REPORT TRACKER" sheetId="2" r:id="rId2"/>
    <sheet name="DASHBOARD" sheetId="3" r:id="rId3"/>
  </sheets>
  <definedNames>
    <definedName name="SegmentaciónDeDatos_Client">#N/A</definedName>
    <definedName name="SegmentaciónDeDatos_Client1">#N/A</definedName>
    <definedName name="SegmentaciónDeDatos_Client2">#N/A</definedName>
    <definedName name="SegmentaciónDeDatos_OOS__Clean">#N/A</definedName>
    <definedName name="SegmentaciónDeDatos_Status_Final">#N/A</definedName>
    <definedName name="SegmentaciónDeDatos_Status_Final__Clean">#N/A</definedName>
    <definedName name="SegmentaciónDeDatos_Week__Actual_Pull">#N/A</definedName>
  </definedNames>
  <calcPr calcId="191029" iterateDelta="1E-4"/>
  <pivotCaches>
    <pivotCache cacheId="15" r:id="rId4"/>
    <pivotCache cacheId="4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5" i="1"/>
  <c r="L104" i="2"/>
  <c r="K104" i="2"/>
  <c r="J104" i="2" s="1"/>
  <c r="L103" i="2"/>
  <c r="K103" i="2"/>
  <c r="J103" i="2" s="1"/>
  <c r="L102" i="2"/>
  <c r="K102" i="2"/>
  <c r="J102" i="2" s="1"/>
  <c r="L101" i="2"/>
  <c r="K101" i="2"/>
  <c r="J101" i="2" s="1"/>
  <c r="L100" i="2"/>
  <c r="K100" i="2"/>
  <c r="J100" i="2" s="1"/>
  <c r="L99" i="2"/>
  <c r="K99" i="2"/>
  <c r="J99" i="2" s="1"/>
  <c r="L98" i="2"/>
  <c r="K98" i="2"/>
  <c r="J98" i="2" s="1"/>
  <c r="L97" i="2"/>
  <c r="K97" i="2"/>
  <c r="L96" i="2"/>
  <c r="K96" i="2"/>
  <c r="L95" i="2"/>
  <c r="K95" i="2"/>
  <c r="L94" i="2"/>
  <c r="K94" i="2"/>
  <c r="J94" i="2" s="1"/>
  <c r="L93" i="2"/>
  <c r="K93" i="2"/>
  <c r="L92" i="2"/>
  <c r="K92" i="2"/>
  <c r="L91" i="2"/>
  <c r="K91" i="2"/>
  <c r="L90" i="2"/>
  <c r="K90" i="2"/>
  <c r="J90" i="2" s="1"/>
  <c r="L89" i="2"/>
  <c r="K89" i="2"/>
  <c r="L88" i="2"/>
  <c r="K88" i="2"/>
  <c r="L87" i="2"/>
  <c r="K87" i="2"/>
  <c r="L86" i="2"/>
  <c r="K86" i="2"/>
  <c r="J86" i="2" s="1"/>
  <c r="L85" i="2"/>
  <c r="K85" i="2"/>
  <c r="J85" i="2" s="1"/>
  <c r="L84" i="2"/>
  <c r="K84" i="2"/>
  <c r="J84" i="2" s="1"/>
  <c r="L83" i="2"/>
  <c r="K83" i="2"/>
  <c r="J83" i="2" s="1"/>
  <c r="L82" i="2"/>
  <c r="K82" i="2"/>
  <c r="J82" i="2" s="1"/>
  <c r="L81" i="2"/>
  <c r="K81" i="2"/>
  <c r="L80" i="2"/>
  <c r="K80" i="2"/>
  <c r="L79" i="2"/>
  <c r="K79" i="2"/>
  <c r="L78" i="2"/>
  <c r="K78" i="2"/>
  <c r="J78" i="2" s="1"/>
  <c r="L77" i="2"/>
  <c r="K77" i="2"/>
  <c r="L76" i="2"/>
  <c r="K76" i="2"/>
  <c r="J76" i="2" s="1"/>
  <c r="L75" i="2"/>
  <c r="K75" i="2"/>
  <c r="L74" i="2"/>
  <c r="K74" i="2"/>
  <c r="J74" i="2" s="1"/>
  <c r="L73" i="2"/>
  <c r="K73" i="2"/>
  <c r="J73" i="2"/>
  <c r="L72" i="2"/>
  <c r="K72" i="2"/>
  <c r="L71" i="2"/>
  <c r="K71" i="2"/>
  <c r="L70" i="2"/>
  <c r="K70" i="2"/>
  <c r="J70" i="2" s="1"/>
  <c r="L69" i="2"/>
  <c r="K69" i="2"/>
  <c r="J69" i="2" s="1"/>
  <c r="L68" i="2"/>
  <c r="K68" i="2"/>
  <c r="J68" i="2" s="1"/>
  <c r="L67" i="2"/>
  <c r="K67" i="2"/>
  <c r="J67" i="2" s="1"/>
  <c r="L66" i="2"/>
  <c r="K66" i="2"/>
  <c r="J66" i="2" s="1"/>
  <c r="L65" i="2"/>
  <c r="K65" i="2"/>
  <c r="L64" i="2"/>
  <c r="K64" i="2"/>
  <c r="L63" i="2"/>
  <c r="K63" i="2"/>
  <c r="L62" i="2"/>
  <c r="K62" i="2"/>
  <c r="J62" i="2" s="1"/>
  <c r="L61" i="2"/>
  <c r="K61" i="2"/>
  <c r="L60" i="2"/>
  <c r="K60" i="2"/>
  <c r="J60" i="2" s="1"/>
  <c r="L59" i="2"/>
  <c r="K59" i="2"/>
  <c r="L58" i="2"/>
  <c r="K58" i="2"/>
  <c r="J58" i="2" s="1"/>
  <c r="L57" i="2"/>
  <c r="K57" i="2"/>
  <c r="J57" i="2"/>
  <c r="L56" i="2"/>
  <c r="K56" i="2"/>
  <c r="L55" i="2"/>
  <c r="K55" i="2"/>
  <c r="L54" i="2"/>
  <c r="K54" i="2"/>
  <c r="J54" i="2" s="1"/>
  <c r="L53" i="2"/>
  <c r="K53" i="2"/>
  <c r="J53" i="2" s="1"/>
  <c r="L52" i="2"/>
  <c r="K52" i="2"/>
  <c r="J52" i="2" s="1"/>
  <c r="L51" i="2"/>
  <c r="K51" i="2"/>
  <c r="J51" i="2" s="1"/>
  <c r="L50" i="2"/>
  <c r="K50" i="2"/>
  <c r="J50" i="2" s="1"/>
  <c r="L49" i="2"/>
  <c r="K49" i="2"/>
  <c r="L48" i="2"/>
  <c r="K48" i="2"/>
  <c r="L47" i="2"/>
  <c r="K47" i="2"/>
  <c r="L46" i="2"/>
  <c r="K46" i="2"/>
  <c r="J46" i="2" s="1"/>
  <c r="L45" i="2"/>
  <c r="K45" i="2"/>
  <c r="L44" i="2"/>
  <c r="K44" i="2"/>
  <c r="J44" i="2" s="1"/>
  <c r="L43" i="2"/>
  <c r="K43" i="2"/>
  <c r="L42" i="2"/>
  <c r="K42" i="2"/>
  <c r="J42" i="2" s="1"/>
  <c r="L41" i="2"/>
  <c r="K41" i="2"/>
  <c r="J41" i="2"/>
  <c r="L40" i="2"/>
  <c r="K40" i="2"/>
  <c r="L39" i="2"/>
  <c r="K39" i="2"/>
  <c r="L38" i="2"/>
  <c r="K38" i="2"/>
  <c r="J38" i="2" s="1"/>
  <c r="L37" i="2"/>
  <c r="K37" i="2"/>
  <c r="J37" i="2" s="1"/>
  <c r="L36" i="2"/>
  <c r="K36" i="2"/>
  <c r="J36" i="2" s="1"/>
  <c r="L35" i="2"/>
  <c r="K35" i="2"/>
  <c r="J35" i="2" s="1"/>
  <c r="L34" i="2"/>
  <c r="K34" i="2"/>
  <c r="J34" i="2" s="1"/>
  <c r="L33" i="2"/>
  <c r="K33" i="2"/>
  <c r="L32" i="2"/>
  <c r="K32" i="2"/>
  <c r="L31" i="2"/>
  <c r="K31" i="2"/>
  <c r="L30" i="2"/>
  <c r="K30" i="2"/>
  <c r="J30" i="2" s="1"/>
  <c r="L29" i="2"/>
  <c r="K29" i="2"/>
  <c r="L28" i="2"/>
  <c r="K28" i="2"/>
  <c r="J28" i="2" s="1"/>
  <c r="L27" i="2"/>
  <c r="K27" i="2"/>
  <c r="L26" i="2"/>
  <c r="K26" i="2"/>
  <c r="J26" i="2" s="1"/>
  <c r="L25" i="2"/>
  <c r="K25" i="2"/>
  <c r="J25" i="2"/>
  <c r="L24" i="2"/>
  <c r="K24" i="2"/>
  <c r="L23" i="2"/>
  <c r="K23" i="2"/>
  <c r="L22" i="2"/>
  <c r="K22" i="2"/>
  <c r="J22" i="2" s="1"/>
  <c r="L21" i="2"/>
  <c r="K21" i="2"/>
  <c r="J21" i="2" s="1"/>
  <c r="L20" i="2"/>
  <c r="K20" i="2"/>
  <c r="J20" i="2" s="1"/>
  <c r="L19" i="2"/>
  <c r="K19" i="2"/>
  <c r="L18" i="2"/>
  <c r="K18" i="2"/>
  <c r="J18" i="2" s="1"/>
  <c r="L17" i="2"/>
  <c r="K17" i="2"/>
  <c r="L16" i="2"/>
  <c r="K16" i="2"/>
  <c r="L15" i="2"/>
  <c r="K15" i="2"/>
  <c r="L14" i="2"/>
  <c r="K14" i="2"/>
  <c r="J14" i="2" s="1"/>
  <c r="L13" i="2"/>
  <c r="K13" i="2"/>
  <c r="L12" i="2"/>
  <c r="K12" i="2"/>
  <c r="J12" i="2" s="1"/>
  <c r="L11" i="2"/>
  <c r="K11" i="2"/>
  <c r="L10" i="2"/>
  <c r="K10" i="2"/>
  <c r="J10" i="2" s="1"/>
  <c r="L9" i="2"/>
  <c r="K9" i="2"/>
  <c r="L8" i="2"/>
  <c r="K8" i="2"/>
  <c r="L7" i="2"/>
  <c r="K7" i="2"/>
  <c r="L6" i="2"/>
  <c r="K6" i="2"/>
  <c r="J6" i="2" s="1"/>
  <c r="L5" i="2"/>
  <c r="K5" i="2"/>
  <c r="J5" i="2" s="1"/>
  <c r="L4" i="2"/>
  <c r="K4" i="2"/>
  <c r="J4" i="2" s="1"/>
  <c r="V114" i="1"/>
  <c r="U114" i="1"/>
  <c r="T114" i="1"/>
  <c r="S114" i="1"/>
  <c r="K114" i="1"/>
  <c r="V113" i="1"/>
  <c r="U113" i="1"/>
  <c r="T113" i="1"/>
  <c r="S113" i="1"/>
  <c r="K113" i="1"/>
  <c r="V112" i="1"/>
  <c r="U112" i="1"/>
  <c r="T112" i="1"/>
  <c r="S112" i="1"/>
  <c r="K112" i="1"/>
  <c r="V111" i="1"/>
  <c r="U111" i="1"/>
  <c r="T111" i="1"/>
  <c r="S111" i="1"/>
  <c r="K111" i="1"/>
  <c r="V110" i="1"/>
  <c r="U110" i="1"/>
  <c r="T110" i="1"/>
  <c r="S110" i="1"/>
  <c r="K110" i="1"/>
  <c r="V109" i="1"/>
  <c r="U109" i="1"/>
  <c r="T109" i="1"/>
  <c r="S109" i="1"/>
  <c r="K109" i="1"/>
  <c r="V108" i="1"/>
  <c r="U108" i="1"/>
  <c r="T108" i="1"/>
  <c r="S108" i="1"/>
  <c r="K108" i="1"/>
  <c r="V107" i="1"/>
  <c r="U107" i="1"/>
  <c r="T107" i="1"/>
  <c r="S107" i="1"/>
  <c r="K107" i="1"/>
  <c r="V106" i="1"/>
  <c r="U106" i="1"/>
  <c r="T106" i="1"/>
  <c r="S106" i="1"/>
  <c r="K106" i="1"/>
  <c r="V105" i="1"/>
  <c r="U105" i="1"/>
  <c r="T105" i="1"/>
  <c r="S105" i="1"/>
  <c r="K105" i="1"/>
  <c r="V104" i="1"/>
  <c r="U104" i="1"/>
  <c r="T104" i="1"/>
  <c r="S104" i="1"/>
  <c r="K104" i="1"/>
  <c r="V103" i="1"/>
  <c r="U103" i="1"/>
  <c r="T103" i="1"/>
  <c r="S103" i="1"/>
  <c r="K103" i="1"/>
  <c r="V102" i="1"/>
  <c r="U102" i="1"/>
  <c r="T102" i="1"/>
  <c r="S102" i="1"/>
  <c r="K102" i="1"/>
  <c r="V101" i="1"/>
  <c r="U101" i="1"/>
  <c r="T101" i="1"/>
  <c r="S101" i="1"/>
  <c r="K101" i="1"/>
  <c r="V100" i="1"/>
  <c r="U100" i="1"/>
  <c r="T100" i="1"/>
  <c r="S100" i="1"/>
  <c r="K100" i="1"/>
  <c r="V99" i="1"/>
  <c r="U99" i="1"/>
  <c r="T99" i="1"/>
  <c r="S99" i="1"/>
  <c r="K99" i="1"/>
  <c r="V98" i="1"/>
  <c r="U98" i="1"/>
  <c r="T98" i="1"/>
  <c r="S98" i="1"/>
  <c r="K98" i="1"/>
  <c r="V97" i="1"/>
  <c r="U97" i="1"/>
  <c r="T97" i="1"/>
  <c r="S97" i="1"/>
  <c r="K97" i="1"/>
  <c r="V96" i="1"/>
  <c r="U96" i="1"/>
  <c r="T96" i="1"/>
  <c r="S96" i="1"/>
  <c r="K96" i="1"/>
  <c r="V95" i="1"/>
  <c r="U95" i="1"/>
  <c r="T95" i="1"/>
  <c r="S95" i="1"/>
  <c r="K95" i="1"/>
  <c r="V94" i="1"/>
  <c r="U94" i="1"/>
  <c r="T94" i="1"/>
  <c r="S94" i="1"/>
  <c r="K94" i="1"/>
  <c r="V93" i="1"/>
  <c r="U93" i="1"/>
  <c r="T93" i="1"/>
  <c r="S93" i="1"/>
  <c r="K93" i="1"/>
  <c r="V92" i="1"/>
  <c r="U92" i="1"/>
  <c r="T92" i="1"/>
  <c r="S92" i="1"/>
  <c r="K92" i="1"/>
  <c r="V91" i="1"/>
  <c r="U91" i="1"/>
  <c r="T91" i="1"/>
  <c r="S91" i="1"/>
  <c r="K91" i="1"/>
  <c r="V90" i="1"/>
  <c r="U90" i="1"/>
  <c r="T90" i="1"/>
  <c r="S90" i="1"/>
  <c r="K90" i="1"/>
  <c r="V89" i="1"/>
  <c r="U89" i="1"/>
  <c r="T89" i="1"/>
  <c r="S89" i="1"/>
  <c r="K89" i="1"/>
  <c r="V88" i="1"/>
  <c r="U88" i="1"/>
  <c r="T88" i="1"/>
  <c r="S88" i="1"/>
  <c r="K88" i="1"/>
  <c r="V87" i="1"/>
  <c r="U87" i="1"/>
  <c r="T87" i="1"/>
  <c r="S87" i="1"/>
  <c r="K87" i="1"/>
  <c r="V86" i="1"/>
  <c r="U86" i="1"/>
  <c r="T86" i="1"/>
  <c r="S86" i="1"/>
  <c r="K86" i="1"/>
  <c r="V85" i="1"/>
  <c r="U85" i="1"/>
  <c r="T85" i="1"/>
  <c r="S85" i="1"/>
  <c r="K85" i="1"/>
  <c r="V84" i="1"/>
  <c r="U84" i="1"/>
  <c r="T84" i="1"/>
  <c r="S84" i="1"/>
  <c r="K84" i="1"/>
  <c r="V83" i="1"/>
  <c r="U83" i="1"/>
  <c r="T83" i="1"/>
  <c r="S83" i="1"/>
  <c r="K83" i="1"/>
  <c r="V82" i="1"/>
  <c r="U82" i="1"/>
  <c r="T82" i="1"/>
  <c r="S82" i="1"/>
  <c r="K82" i="1"/>
  <c r="V81" i="1"/>
  <c r="U81" i="1"/>
  <c r="T81" i="1"/>
  <c r="S81" i="1"/>
  <c r="K81" i="1"/>
  <c r="V80" i="1"/>
  <c r="U80" i="1"/>
  <c r="T80" i="1"/>
  <c r="S80" i="1"/>
  <c r="K80" i="1"/>
  <c r="V79" i="1"/>
  <c r="U79" i="1"/>
  <c r="T79" i="1"/>
  <c r="S79" i="1"/>
  <c r="K79" i="1"/>
  <c r="V78" i="1"/>
  <c r="U78" i="1"/>
  <c r="T78" i="1"/>
  <c r="S78" i="1"/>
  <c r="K78" i="1"/>
  <c r="V77" i="1"/>
  <c r="U77" i="1"/>
  <c r="T77" i="1"/>
  <c r="S77" i="1"/>
  <c r="K77" i="1"/>
  <c r="V76" i="1"/>
  <c r="U76" i="1"/>
  <c r="T76" i="1"/>
  <c r="S76" i="1"/>
  <c r="K76" i="1"/>
  <c r="V75" i="1"/>
  <c r="U75" i="1"/>
  <c r="T75" i="1"/>
  <c r="S75" i="1"/>
  <c r="K75" i="1"/>
  <c r="V74" i="1"/>
  <c r="U74" i="1"/>
  <c r="T74" i="1"/>
  <c r="S74" i="1"/>
  <c r="K74" i="1"/>
  <c r="V73" i="1"/>
  <c r="U73" i="1"/>
  <c r="T73" i="1"/>
  <c r="S73" i="1"/>
  <c r="K73" i="1"/>
  <c r="V72" i="1"/>
  <c r="U72" i="1"/>
  <c r="T72" i="1"/>
  <c r="S72" i="1"/>
  <c r="K72" i="1"/>
  <c r="V71" i="1"/>
  <c r="U71" i="1"/>
  <c r="T71" i="1"/>
  <c r="S71" i="1"/>
  <c r="K71" i="1"/>
  <c r="V70" i="1"/>
  <c r="U70" i="1"/>
  <c r="T70" i="1"/>
  <c r="S70" i="1"/>
  <c r="K70" i="1"/>
  <c r="V69" i="1"/>
  <c r="U69" i="1"/>
  <c r="T69" i="1"/>
  <c r="S69" i="1"/>
  <c r="K69" i="1"/>
  <c r="V68" i="1"/>
  <c r="U68" i="1"/>
  <c r="T68" i="1"/>
  <c r="S68" i="1"/>
  <c r="K68" i="1"/>
  <c r="V67" i="1"/>
  <c r="U67" i="1"/>
  <c r="T67" i="1"/>
  <c r="S67" i="1"/>
  <c r="K67" i="1"/>
  <c r="V66" i="1"/>
  <c r="U66" i="1"/>
  <c r="T66" i="1"/>
  <c r="S66" i="1"/>
  <c r="K66" i="1"/>
  <c r="V65" i="1"/>
  <c r="U65" i="1"/>
  <c r="T65" i="1"/>
  <c r="S65" i="1"/>
  <c r="K65" i="1"/>
  <c r="V64" i="1"/>
  <c r="U64" i="1"/>
  <c r="T64" i="1"/>
  <c r="S64" i="1"/>
  <c r="K64" i="1"/>
  <c r="V63" i="1"/>
  <c r="U63" i="1"/>
  <c r="T63" i="1"/>
  <c r="S63" i="1"/>
  <c r="K63" i="1"/>
  <c r="V62" i="1"/>
  <c r="U62" i="1"/>
  <c r="T62" i="1"/>
  <c r="S62" i="1"/>
  <c r="K62" i="1"/>
  <c r="V61" i="1"/>
  <c r="U61" i="1"/>
  <c r="T61" i="1"/>
  <c r="S61" i="1"/>
  <c r="K61" i="1"/>
  <c r="V60" i="1"/>
  <c r="U60" i="1"/>
  <c r="T60" i="1"/>
  <c r="S60" i="1"/>
  <c r="K60" i="1"/>
  <c r="V59" i="1"/>
  <c r="U59" i="1"/>
  <c r="T59" i="1"/>
  <c r="S59" i="1"/>
  <c r="K59" i="1"/>
  <c r="V58" i="1"/>
  <c r="U58" i="1"/>
  <c r="T58" i="1"/>
  <c r="S58" i="1"/>
  <c r="K58" i="1"/>
  <c r="V57" i="1"/>
  <c r="U57" i="1"/>
  <c r="T57" i="1"/>
  <c r="S57" i="1"/>
  <c r="K57" i="1"/>
  <c r="V56" i="1"/>
  <c r="U56" i="1"/>
  <c r="T56" i="1"/>
  <c r="S56" i="1"/>
  <c r="K56" i="1"/>
  <c r="V55" i="1"/>
  <c r="U55" i="1"/>
  <c r="T55" i="1"/>
  <c r="S55" i="1"/>
  <c r="K55" i="1"/>
  <c r="V54" i="1"/>
  <c r="U54" i="1"/>
  <c r="T54" i="1"/>
  <c r="S54" i="1"/>
  <c r="K54" i="1"/>
  <c r="V53" i="1"/>
  <c r="U53" i="1"/>
  <c r="T53" i="1"/>
  <c r="S53" i="1"/>
  <c r="K53" i="1"/>
  <c r="V52" i="1"/>
  <c r="U52" i="1"/>
  <c r="T52" i="1"/>
  <c r="S52" i="1"/>
  <c r="K52" i="1"/>
  <c r="V51" i="1"/>
  <c r="U51" i="1"/>
  <c r="T51" i="1"/>
  <c r="S51" i="1"/>
  <c r="K51" i="1"/>
  <c r="V50" i="1"/>
  <c r="U50" i="1"/>
  <c r="T50" i="1"/>
  <c r="S50" i="1"/>
  <c r="K50" i="1"/>
  <c r="V49" i="1"/>
  <c r="U49" i="1"/>
  <c r="T49" i="1"/>
  <c r="S49" i="1"/>
  <c r="K49" i="1"/>
  <c r="V48" i="1"/>
  <c r="U48" i="1"/>
  <c r="T48" i="1"/>
  <c r="S48" i="1"/>
  <c r="K48" i="1"/>
  <c r="V47" i="1"/>
  <c r="U47" i="1"/>
  <c r="T47" i="1"/>
  <c r="S47" i="1"/>
  <c r="K47" i="1"/>
  <c r="V46" i="1"/>
  <c r="U46" i="1"/>
  <c r="T46" i="1"/>
  <c r="S46" i="1"/>
  <c r="K46" i="1"/>
  <c r="V45" i="1"/>
  <c r="U45" i="1"/>
  <c r="T45" i="1"/>
  <c r="S45" i="1"/>
  <c r="K45" i="1"/>
  <c r="V44" i="1"/>
  <c r="U44" i="1"/>
  <c r="T44" i="1"/>
  <c r="S44" i="1"/>
  <c r="K44" i="1"/>
  <c r="V43" i="1"/>
  <c r="U43" i="1"/>
  <c r="T43" i="1"/>
  <c r="S43" i="1"/>
  <c r="K43" i="1"/>
  <c r="V42" i="1"/>
  <c r="U42" i="1"/>
  <c r="T42" i="1"/>
  <c r="S42" i="1"/>
  <c r="K42" i="1"/>
  <c r="V41" i="1"/>
  <c r="U41" i="1"/>
  <c r="T41" i="1"/>
  <c r="S41" i="1"/>
  <c r="K41" i="1"/>
  <c r="V40" i="1"/>
  <c r="U40" i="1"/>
  <c r="T40" i="1"/>
  <c r="S40" i="1"/>
  <c r="K40" i="1"/>
  <c r="V39" i="1"/>
  <c r="U39" i="1"/>
  <c r="T39" i="1"/>
  <c r="S39" i="1"/>
  <c r="K39" i="1"/>
  <c r="V38" i="1"/>
  <c r="U38" i="1"/>
  <c r="T38" i="1"/>
  <c r="S38" i="1"/>
  <c r="K38" i="1"/>
  <c r="V37" i="1"/>
  <c r="U37" i="1"/>
  <c r="T37" i="1"/>
  <c r="S37" i="1"/>
  <c r="K37" i="1"/>
  <c r="V36" i="1"/>
  <c r="U36" i="1"/>
  <c r="T36" i="1"/>
  <c r="S36" i="1"/>
  <c r="K36" i="1"/>
  <c r="V35" i="1"/>
  <c r="U35" i="1"/>
  <c r="T35" i="1"/>
  <c r="S35" i="1"/>
  <c r="K35" i="1"/>
  <c r="V34" i="1"/>
  <c r="U34" i="1"/>
  <c r="T34" i="1"/>
  <c r="S34" i="1"/>
  <c r="K34" i="1"/>
  <c r="V33" i="1"/>
  <c r="U33" i="1"/>
  <c r="T33" i="1"/>
  <c r="S33" i="1"/>
  <c r="K33" i="1"/>
  <c r="V32" i="1"/>
  <c r="U32" i="1"/>
  <c r="T32" i="1"/>
  <c r="S32" i="1"/>
  <c r="K32" i="1"/>
  <c r="V31" i="1"/>
  <c r="U31" i="1"/>
  <c r="T31" i="1"/>
  <c r="S31" i="1"/>
  <c r="K31" i="1"/>
  <c r="V30" i="1"/>
  <c r="U30" i="1"/>
  <c r="T30" i="1"/>
  <c r="S30" i="1"/>
  <c r="K30" i="1"/>
  <c r="V29" i="1"/>
  <c r="U29" i="1"/>
  <c r="T29" i="1"/>
  <c r="S29" i="1"/>
  <c r="K29" i="1"/>
  <c r="V28" i="1"/>
  <c r="U28" i="1"/>
  <c r="T28" i="1"/>
  <c r="S28" i="1"/>
  <c r="K28" i="1"/>
  <c r="V27" i="1"/>
  <c r="U27" i="1"/>
  <c r="T27" i="1"/>
  <c r="S27" i="1"/>
  <c r="K27" i="1"/>
  <c r="V26" i="1"/>
  <c r="U26" i="1"/>
  <c r="T26" i="1"/>
  <c r="S26" i="1"/>
  <c r="K26" i="1"/>
  <c r="V25" i="1"/>
  <c r="U25" i="1"/>
  <c r="T25" i="1"/>
  <c r="S25" i="1"/>
  <c r="K25" i="1"/>
  <c r="V24" i="1"/>
  <c r="U24" i="1"/>
  <c r="T24" i="1"/>
  <c r="S24" i="1"/>
  <c r="K24" i="1"/>
  <c r="V23" i="1"/>
  <c r="U23" i="1"/>
  <c r="T23" i="1"/>
  <c r="S23" i="1"/>
  <c r="K23" i="1"/>
  <c r="V22" i="1"/>
  <c r="U22" i="1"/>
  <c r="T22" i="1"/>
  <c r="S22" i="1"/>
  <c r="K22" i="1"/>
  <c r="V21" i="1"/>
  <c r="U21" i="1"/>
  <c r="T21" i="1"/>
  <c r="S21" i="1"/>
  <c r="K21" i="1"/>
  <c r="V20" i="1"/>
  <c r="U20" i="1"/>
  <c r="T20" i="1"/>
  <c r="S20" i="1"/>
  <c r="K20" i="1"/>
  <c r="V19" i="1"/>
  <c r="U19" i="1"/>
  <c r="T19" i="1"/>
  <c r="S19" i="1"/>
  <c r="K19" i="1"/>
  <c r="V18" i="1"/>
  <c r="U18" i="1"/>
  <c r="T18" i="1"/>
  <c r="S18" i="1"/>
  <c r="K18" i="1"/>
  <c r="V17" i="1"/>
  <c r="U17" i="1"/>
  <c r="T17" i="1"/>
  <c r="S17" i="1"/>
  <c r="K17" i="1"/>
  <c r="V16" i="1"/>
  <c r="U16" i="1"/>
  <c r="T16" i="1"/>
  <c r="S16" i="1"/>
  <c r="K16" i="1"/>
  <c r="V15" i="1"/>
  <c r="U15" i="1"/>
  <c r="T15" i="1"/>
  <c r="S15" i="1"/>
  <c r="K15" i="1"/>
  <c r="V14" i="1"/>
  <c r="U14" i="1"/>
  <c r="T14" i="1"/>
  <c r="S14" i="1"/>
  <c r="K14" i="1"/>
  <c r="V13" i="1"/>
  <c r="U13" i="1"/>
  <c r="T13" i="1"/>
  <c r="S13" i="1"/>
  <c r="K13" i="1"/>
  <c r="V12" i="1"/>
  <c r="U12" i="1"/>
  <c r="T12" i="1"/>
  <c r="S12" i="1"/>
  <c r="K12" i="1"/>
  <c r="V11" i="1"/>
  <c r="U11" i="1"/>
  <c r="T11" i="1"/>
  <c r="S11" i="1"/>
  <c r="K11" i="1"/>
  <c r="V10" i="1"/>
  <c r="U10" i="1"/>
  <c r="T10" i="1"/>
  <c r="S10" i="1"/>
  <c r="K10" i="1"/>
  <c r="V9" i="1"/>
  <c r="U9" i="1"/>
  <c r="T9" i="1"/>
  <c r="S9" i="1"/>
  <c r="K9" i="1"/>
  <c r="V8" i="1"/>
  <c r="U8" i="1"/>
  <c r="T8" i="1"/>
  <c r="S8" i="1"/>
  <c r="J9" i="2" s="1"/>
  <c r="K8" i="1"/>
  <c r="V7" i="1"/>
  <c r="U7" i="1"/>
  <c r="T7" i="1"/>
  <c r="S7" i="1"/>
  <c r="K7" i="1"/>
  <c r="V6" i="1"/>
  <c r="U6" i="1"/>
  <c r="T6" i="1"/>
  <c r="S6" i="1"/>
  <c r="K6" i="1"/>
  <c r="V5" i="1"/>
  <c r="U5" i="1"/>
  <c r="T5" i="1"/>
  <c r="S5" i="1"/>
  <c r="J19" i="2" s="1"/>
  <c r="K5" i="1"/>
  <c r="J15" i="2" l="1"/>
  <c r="J31" i="2"/>
  <c r="J47" i="2"/>
  <c r="J63" i="2"/>
  <c r="J79" i="2"/>
  <c r="J95" i="2"/>
  <c r="J89" i="2"/>
  <c r="J16" i="2"/>
  <c r="J32" i="2"/>
  <c r="J48" i="2"/>
  <c r="J64" i="2"/>
  <c r="J80" i="2"/>
  <c r="J96" i="2"/>
  <c r="J11" i="2"/>
  <c r="J27" i="2"/>
  <c r="J43" i="2"/>
  <c r="J59" i="2"/>
  <c r="J75" i="2"/>
  <c r="J91" i="2"/>
  <c r="J17" i="2"/>
  <c r="J33" i="2"/>
  <c r="J49" i="2"/>
  <c r="J65" i="2"/>
  <c r="J81" i="2"/>
  <c r="J97" i="2"/>
  <c r="J92" i="2"/>
  <c r="J7" i="2"/>
  <c r="J23" i="2"/>
  <c r="J39" i="2"/>
  <c r="J55" i="2"/>
  <c r="J71" i="2"/>
  <c r="J87" i="2"/>
  <c r="J13" i="2"/>
  <c r="J29" i="2"/>
  <c r="J45" i="2"/>
  <c r="J61" i="2"/>
  <c r="J77" i="2"/>
  <c r="J93" i="2"/>
  <c r="J8" i="2"/>
  <c r="J24" i="2"/>
  <c r="J40" i="2"/>
  <c r="J56" i="2"/>
  <c r="J72" i="2"/>
  <c r="J88" i="2"/>
</calcChain>
</file>

<file path=xl/sharedStrings.xml><?xml version="1.0" encoding="utf-8"?>
<sst xmlns="http://schemas.openxmlformats.org/spreadsheetml/2006/main" count="1626" uniqueCount="291">
  <si>
    <t>ℹ️  DEMO FILE — All data is fictitious for portfolio purposes only</t>
  </si>
  <si>
    <t>WEEKLY PULL-OUT SCHEDULE &amp; TESTING STATUS — Demo Data</t>
  </si>
  <si>
    <t>Client</t>
  </si>
  <si>
    <t>Stability No.</t>
  </si>
  <si>
    <t>Product Name</t>
  </si>
  <si>
    <t>Timepoint</t>
  </si>
  <si>
    <t>Storage Conditions</t>
  </si>
  <si>
    <t>Scheduled Retrieval</t>
  </si>
  <si>
    <t>Window Start</t>
  </si>
  <si>
    <t>Window End</t>
  </si>
  <si>
    <t>Actual Pull Date</t>
  </si>
  <si>
    <t>Testing Deadline</t>
  </si>
  <si>
    <t>Days to Window</t>
  </si>
  <si>
    <t>STATUS</t>
  </si>
  <si>
    <t>Testing Status</t>
  </si>
  <si>
    <t>Status Final</t>
  </si>
  <si>
    <t>QIDR #</t>
  </si>
  <si>
    <t>OOS</t>
  </si>
  <si>
    <t>Comment</t>
  </si>
  <si>
    <t>Documentation Completed</t>
  </si>
  <si>
    <t>KEY
(Stability+Timepoint)</t>
  </si>
  <si>
    <t>Status Final
(Clean)</t>
  </si>
  <si>
    <t>Year</t>
  </si>
  <si>
    <t>OOS
(Clean)</t>
  </si>
  <si>
    <t>Week
(Actual Pull)</t>
  </si>
  <si>
    <t>NovaMed Pharma</t>
  </si>
  <si>
    <t>801</t>
  </si>
  <si>
    <t>Omega-3 Fish Oil Capsules</t>
  </si>
  <si>
    <t>M9</t>
  </si>
  <si>
    <t>30°C/65%RH</t>
  </si>
  <si>
    <t>Active</t>
  </si>
  <si>
    <t>In Progress</t>
  </si>
  <si>
    <t>Completed</t>
  </si>
  <si>
    <t>N/A</t>
  </si>
  <si>
    <t>Yes</t>
  </si>
  <si>
    <t>M3</t>
  </si>
  <si>
    <t>40°C/75%RH</t>
  </si>
  <si>
    <t>26-03-007</t>
  </si>
  <si>
    <t>M24</t>
  </si>
  <si>
    <t>M1</t>
  </si>
  <si>
    <t>M12</t>
  </si>
  <si>
    <t>5°C±3°C</t>
  </si>
  <si>
    <t>821</t>
  </si>
  <si>
    <t>Zinc Lozenges 10mg</t>
  </si>
  <si>
    <t>Not Completed</t>
  </si>
  <si>
    <t>M18</t>
  </si>
  <si>
    <t>26-02-003</t>
  </si>
  <si>
    <t>25°C/60%RH</t>
  </si>
  <si>
    <t>832</t>
  </si>
  <si>
    <t>Turmeric Extract Capsules</t>
  </si>
  <si>
    <t>M36</t>
  </si>
  <si>
    <t>833</t>
  </si>
  <si>
    <t>CoQ10 100mg Softgels</t>
  </si>
  <si>
    <t>QIDR-880</t>
  </si>
  <si>
    <t>26-04-012</t>
  </si>
  <si>
    <t>BioCore Labs</t>
  </si>
  <si>
    <t>843</t>
  </si>
  <si>
    <t>Iron Supplement Drops</t>
  </si>
  <si>
    <t>OOS Closed</t>
  </si>
  <si>
    <t>851</t>
  </si>
  <si>
    <t>Vitamin C 500mg Tablets</t>
  </si>
  <si>
    <t>26-01-001</t>
  </si>
  <si>
    <t>M6</t>
  </si>
  <si>
    <t>QIDR-155</t>
  </si>
  <si>
    <t>HealthSync Ltd</t>
  </si>
  <si>
    <t>853</t>
  </si>
  <si>
    <t>QIDR-969</t>
  </si>
  <si>
    <t>QIDR-268</t>
  </si>
  <si>
    <t>QIDR-182</t>
  </si>
  <si>
    <t>856</t>
  </si>
  <si>
    <t>Probiotic Complex</t>
  </si>
  <si>
    <t>875</t>
  </si>
  <si>
    <t>QIDR-206</t>
  </si>
  <si>
    <t>882</t>
  </si>
  <si>
    <t>PurePath Wellness</t>
  </si>
  <si>
    <t>896</t>
  </si>
  <si>
    <t>907</t>
  </si>
  <si>
    <t>927</t>
  </si>
  <si>
    <t>VitaShield Inc</t>
  </si>
  <si>
    <t>943</t>
  </si>
  <si>
    <t>Magnesium Citrate Powder</t>
  </si>
  <si>
    <t>963</t>
  </si>
  <si>
    <t>QIDR-883</t>
  </si>
  <si>
    <t>ClearDose Corp</t>
  </si>
  <si>
    <t>979</t>
  </si>
  <si>
    <t>Melatonin 3mg Tablets</t>
  </si>
  <si>
    <t>QIDR-737</t>
  </si>
  <si>
    <t>994</t>
  </si>
  <si>
    <t>1013</t>
  </si>
  <si>
    <t>1014</t>
  </si>
  <si>
    <t>QIDR-286</t>
  </si>
  <si>
    <t>MediPro Australia</t>
  </si>
  <si>
    <t>1024</t>
  </si>
  <si>
    <t>1043</t>
  </si>
  <si>
    <t>1046</t>
  </si>
  <si>
    <t>1055</t>
  </si>
  <si>
    <t>QIDR-788</t>
  </si>
  <si>
    <t>QIDR-285</t>
  </si>
  <si>
    <t>AlphaChem Pty Ltd</t>
  </si>
  <si>
    <t>1067</t>
  </si>
  <si>
    <t>1086</t>
  </si>
  <si>
    <t>QIDR-979</t>
  </si>
  <si>
    <t>INVOICE &amp; REPORT TRACKER — Demo Data</t>
  </si>
  <si>
    <t>Batch No.</t>
  </si>
  <si>
    <t>Invoice No.</t>
  </si>
  <si>
    <t>Report Sent Deadline</t>
  </si>
  <si>
    <t>Report Sent to Client Date</t>
  </si>
  <si>
    <t>PO</t>
  </si>
  <si>
    <t>Invoice Status</t>
  </si>
  <si>
    <t>BN-9864</t>
  </si>
  <si>
    <t>IN2600004</t>
  </si>
  <si>
    <t>PO-90931</t>
  </si>
  <si>
    <t>BN-2480</t>
  </si>
  <si>
    <t>IN2600006</t>
  </si>
  <si>
    <t>PO-66881</t>
  </si>
  <si>
    <t>BN-8269</t>
  </si>
  <si>
    <t>BN-1753</t>
  </si>
  <si>
    <t>BN-7141</t>
  </si>
  <si>
    <t>BN-3950</t>
  </si>
  <si>
    <t>BN-4945</t>
  </si>
  <si>
    <t>BN-8555</t>
  </si>
  <si>
    <t>BN-8622</t>
  </si>
  <si>
    <t>BN-2210</t>
  </si>
  <si>
    <t>BN-5901</t>
  </si>
  <si>
    <t>BN-8484</t>
  </si>
  <si>
    <t>BN-8916</t>
  </si>
  <si>
    <t>BN-5847</t>
  </si>
  <si>
    <t>BN-5497</t>
  </si>
  <si>
    <t>BN-9138</t>
  </si>
  <si>
    <t>BN-6772</t>
  </si>
  <si>
    <t>IN2600046</t>
  </si>
  <si>
    <t>PO-93442</t>
  </si>
  <si>
    <t>BN-2591</t>
  </si>
  <si>
    <t>BN-8222</t>
  </si>
  <si>
    <t>BN-6352</t>
  </si>
  <si>
    <t>BN-9837</t>
  </si>
  <si>
    <t>BN-5465</t>
  </si>
  <si>
    <t>BN-5835</t>
  </si>
  <si>
    <t>BN-8673</t>
  </si>
  <si>
    <t>BN-7511</t>
  </si>
  <si>
    <t>BN-2479</t>
  </si>
  <si>
    <t>BN-3024</t>
  </si>
  <si>
    <t>BN-7242</t>
  </si>
  <si>
    <t>BN-4830</t>
  </si>
  <si>
    <t>IN2600080</t>
  </si>
  <si>
    <t>PO-13280</t>
  </si>
  <si>
    <t>BN-4626</t>
  </si>
  <si>
    <t>IN2600083</t>
  </si>
  <si>
    <t>PO-18285</t>
  </si>
  <si>
    <t>BN-7689</t>
  </si>
  <si>
    <t>BN-5986</t>
  </si>
  <si>
    <t>BN-9807</t>
  </si>
  <si>
    <t>BN-7866</t>
  </si>
  <si>
    <t>BN-2622</t>
  </si>
  <si>
    <t>BN-1536</t>
  </si>
  <si>
    <t>BN-4868</t>
  </si>
  <si>
    <t>BN-9920</t>
  </si>
  <si>
    <t>BN-7523</t>
  </si>
  <si>
    <t>BN-2501</t>
  </si>
  <si>
    <t>IN2600113</t>
  </si>
  <si>
    <t>PO-37801</t>
  </si>
  <si>
    <t>BN-1828</t>
  </si>
  <si>
    <t>BN-4362</t>
  </si>
  <si>
    <t>BN-4817</t>
  </si>
  <si>
    <t>BN-1046</t>
  </si>
  <si>
    <t>BN-9850</t>
  </si>
  <si>
    <t>IN2600125</t>
  </si>
  <si>
    <t>PO-32871</t>
  </si>
  <si>
    <t>BN-1243</t>
  </si>
  <si>
    <t>BN-6304</t>
  </si>
  <si>
    <t>BN-9619</t>
  </si>
  <si>
    <t>BN-6931</t>
  </si>
  <si>
    <t>BN-4629</t>
  </si>
  <si>
    <t>BN-5941</t>
  </si>
  <si>
    <t>BN-8847</t>
  </si>
  <si>
    <t>IN2600151</t>
  </si>
  <si>
    <t>PO-62640</t>
  </si>
  <si>
    <t>BN-2204</t>
  </si>
  <si>
    <t>BN-2076</t>
  </si>
  <si>
    <t>BN-9984</t>
  </si>
  <si>
    <t>BN-9692</t>
  </si>
  <si>
    <t>BN-2624</t>
  </si>
  <si>
    <t>BN-4522</t>
  </si>
  <si>
    <t>BN-6553</t>
  </si>
  <si>
    <t>IN2600180</t>
  </si>
  <si>
    <t>PO-69441</t>
  </si>
  <si>
    <t>BN-7992</t>
  </si>
  <si>
    <t>BN-8770</t>
  </si>
  <si>
    <t>BN-7105</t>
  </si>
  <si>
    <t>BN-6400</t>
  </si>
  <si>
    <t>BN-1842</t>
  </si>
  <si>
    <t>BN-2697</t>
  </si>
  <si>
    <t>BN-4674</t>
  </si>
  <si>
    <t>BN-7022</t>
  </si>
  <si>
    <t>BN-8030</t>
  </si>
  <si>
    <t>BN-1430</t>
  </si>
  <si>
    <t>IN2600214</t>
  </si>
  <si>
    <t>PO-96223</t>
  </si>
  <si>
    <t>BN-5477</t>
  </si>
  <si>
    <t>BN-6751</t>
  </si>
  <si>
    <t>BN-2140</t>
  </si>
  <si>
    <t>BN-2503</t>
  </si>
  <si>
    <t>BN-8432</t>
  </si>
  <si>
    <t>BN-2391</t>
  </si>
  <si>
    <t>BN-1815</t>
  </si>
  <si>
    <t>BN-8957</t>
  </si>
  <si>
    <t>BN-9394</t>
  </si>
  <si>
    <t>BN-8972</t>
  </si>
  <si>
    <t>BN-7475</t>
  </si>
  <si>
    <t>BN-5938</t>
  </si>
  <si>
    <t>BN-5742</t>
  </si>
  <si>
    <t>BN-3878</t>
  </si>
  <si>
    <t>BN-9196</t>
  </si>
  <si>
    <t>BN-2180</t>
  </si>
  <si>
    <t>BN-1307</t>
  </si>
  <si>
    <t>BN-8033</t>
  </si>
  <si>
    <t>BN-5743</t>
  </si>
  <si>
    <t>BN-3815</t>
  </si>
  <si>
    <t>BN-2443</t>
  </si>
  <si>
    <t>BN-7560</t>
  </si>
  <si>
    <t>BN-6562</t>
  </si>
  <si>
    <t>BN-9363</t>
  </si>
  <si>
    <t>BN-6724</t>
  </si>
  <si>
    <t>BN-4871</t>
  </si>
  <si>
    <t>IN2600290</t>
  </si>
  <si>
    <t>PO-29194</t>
  </si>
  <si>
    <t>BN-2234</t>
  </si>
  <si>
    <t>BN-8601</t>
  </si>
  <si>
    <t>BN-6295</t>
  </si>
  <si>
    <t>BN-8205</t>
  </si>
  <si>
    <t>BN-1920</t>
  </si>
  <si>
    <t>BN-8404</t>
  </si>
  <si>
    <t>Etiquetas de fila</t>
  </si>
  <si>
    <t>Total general</t>
  </si>
  <si>
    <t>Cuenta de Status Final</t>
  </si>
  <si>
    <t>Etiquetas de columna</t>
  </si>
  <si>
    <t>(en blanco)</t>
  </si>
  <si>
    <t>(Todas)</t>
  </si>
  <si>
    <t>Cuenta de OOS
(Clean)</t>
  </si>
  <si>
    <t>Closed</t>
  </si>
  <si>
    <t>No OOS</t>
  </si>
  <si>
    <t>Open</t>
  </si>
  <si>
    <t>Issued</t>
  </si>
  <si>
    <t>Pending</t>
  </si>
  <si>
    <t>Cuenta de Invoice Status</t>
  </si>
  <si>
    <t>Week 3 of April</t>
  </si>
  <si>
    <t>Week 4 of May</t>
  </si>
  <si>
    <t>Week 3 of May</t>
  </si>
  <si>
    <t>Week 2 of May</t>
  </si>
  <si>
    <t>Week 1 of October</t>
  </si>
  <si>
    <t>Week 1 of May</t>
  </si>
  <si>
    <t>Week 4 of February</t>
  </si>
  <si>
    <t>Week 4 of July</t>
  </si>
  <si>
    <t>Week 4 of January</t>
  </si>
  <si>
    <t>Week 1 of November</t>
  </si>
  <si>
    <t>Week 5 of August</t>
  </si>
  <si>
    <t>Week 1 of January</t>
  </si>
  <si>
    <t>Week 2 of March</t>
  </si>
  <si>
    <t>Week 3 of September</t>
  </si>
  <si>
    <t>Week 4 of June</t>
  </si>
  <si>
    <t>Week 2 of June</t>
  </si>
  <si>
    <t>Week 4 of October</t>
  </si>
  <si>
    <t>Week 3 of October</t>
  </si>
  <si>
    <t>Week 5 of April</t>
  </si>
  <si>
    <t>Week 2 of December</t>
  </si>
  <si>
    <t>Week 3 of January</t>
  </si>
  <si>
    <t>Week 4 of December</t>
  </si>
  <si>
    <t>Week 1 of June</t>
  </si>
  <si>
    <t>Week 3 of February</t>
  </si>
  <si>
    <t>Week 3 of June</t>
  </si>
  <si>
    <t>Week 2 of April</t>
  </si>
  <si>
    <t>Week 2 of August</t>
  </si>
  <si>
    <t>Week 5 of May</t>
  </si>
  <si>
    <t>Week 1 of April</t>
  </si>
  <si>
    <t>Week 5 of July</t>
  </si>
  <si>
    <t>Week 4 of March</t>
  </si>
  <si>
    <t>Week 5 of October</t>
  </si>
  <si>
    <t>Week 1 of February</t>
  </si>
  <si>
    <t>Week 4 of April</t>
  </si>
  <si>
    <t>Week 5 of June</t>
  </si>
  <si>
    <t>Week 5 of January</t>
  </si>
  <si>
    <t>Week 5 of September</t>
  </si>
  <si>
    <t>Week 1 of July</t>
  </si>
  <si>
    <t>Week 2 of September</t>
  </si>
  <si>
    <t>Week 1 of September</t>
  </si>
  <si>
    <t>Week 2 of November</t>
  </si>
  <si>
    <t>Week 1 of August</t>
  </si>
  <si>
    <t>Week 3 of December</t>
  </si>
  <si>
    <t>Week 2 of October</t>
  </si>
  <si>
    <t>Week 2 of February</t>
  </si>
  <si>
    <t>Cuenta de Status Final
(Clean)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</si>
</sst>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[hh]:mm:ss"/>
  </numFmts>
  <fonts count="9" x14ac:knownFonts="1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375623"/>
      <name val="Arial"/>
      <charset val="1"/>
    </font>
    <font>
      <sz val="10"/>
      <color rgb="FF1F3864"/>
      <name val="Arial"/>
      <charset val="1"/>
    </font>
    <font>
      <sz val="10"/>
      <color rgb="FF7B2C2C"/>
      <name val="Arial"/>
      <charset val="1"/>
    </font>
    <font>
      <sz val="10"/>
      <color rgb="FF1F497D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4B5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F4CCCC"/>
        <bgColor rgb="FFDCE6F1"/>
      </patternFill>
    </fill>
    <fill>
      <patternFill patternType="solid">
        <fgColor rgb="FFEBF3FB"/>
        <bgColor rgb="FFE2EFDA"/>
      </patternFill>
    </fill>
    <fill>
      <patternFill patternType="solid">
        <fgColor rgb="FF7B2C2C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165" fontId="4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4CCCC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B2C2C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[Stability_Dashboard_DEMO.xlsx]DASHBOARD!TablaDinámica1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Stability Analyses 2026 by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DASHBOARD!$C$4:$C$5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DASHBOARD!$B$6:$B$14</c:f>
              <c:strCache>
                <c:ptCount val="8"/>
                <c:pt idx="0">
                  <c:v>AlphaChem Pty Ltd</c:v>
                </c:pt>
                <c:pt idx="1">
                  <c:v>BioCore Labs</c:v>
                </c:pt>
                <c:pt idx="2">
                  <c:v>ClearDose Corp</c:v>
                </c:pt>
                <c:pt idx="3">
                  <c:v>HealthSync Ltd</c:v>
                </c:pt>
                <c:pt idx="4">
                  <c:v>MediPro Australia</c:v>
                </c:pt>
                <c:pt idx="5">
                  <c:v>NovaMed Pharma</c:v>
                </c:pt>
                <c:pt idx="6">
                  <c:v>PurePath Wellness</c:v>
                </c:pt>
                <c:pt idx="7">
                  <c:v>VitaShield Inc</c:v>
                </c:pt>
              </c:strCache>
            </c:strRef>
          </c:cat>
          <c:val>
            <c:numRef>
              <c:f>DASHBOARD!$C$6:$C$14</c:f>
              <c:numCache>
                <c:formatCode>General</c:formatCode>
                <c:ptCount val="8"/>
                <c:pt idx="0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1-4911-B057-EF101131231D}"/>
            </c:ext>
          </c:extLst>
        </c:ser>
        <c:ser>
          <c:idx val="1"/>
          <c:order val="1"/>
          <c:tx>
            <c:strRef>
              <c:f>DASHBOARD!$D$4:$D$5</c:f>
              <c:strCache>
                <c:ptCount val="1"/>
                <c:pt idx="0">
                  <c:v>Not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DASHBOARD!$B$6:$B$14</c:f>
              <c:strCache>
                <c:ptCount val="8"/>
                <c:pt idx="0">
                  <c:v>AlphaChem Pty Ltd</c:v>
                </c:pt>
                <c:pt idx="1">
                  <c:v>BioCore Labs</c:v>
                </c:pt>
                <c:pt idx="2">
                  <c:v>ClearDose Corp</c:v>
                </c:pt>
                <c:pt idx="3">
                  <c:v>HealthSync Ltd</c:v>
                </c:pt>
                <c:pt idx="4">
                  <c:v>MediPro Australia</c:v>
                </c:pt>
                <c:pt idx="5">
                  <c:v>NovaMed Pharma</c:v>
                </c:pt>
                <c:pt idx="6">
                  <c:v>PurePath Wellness</c:v>
                </c:pt>
                <c:pt idx="7">
                  <c:v>VitaShield Inc</c:v>
                </c:pt>
              </c:strCache>
            </c:strRef>
          </c:cat>
          <c:val>
            <c:numRef>
              <c:f>DASHBOARD!$D$6:$D$14</c:f>
              <c:numCache>
                <c:formatCode>General</c:formatCode>
                <c:ptCount val="8"/>
                <c:pt idx="0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1-4911-B057-EF101131231D}"/>
            </c:ext>
          </c:extLst>
        </c:ser>
        <c:ser>
          <c:idx val="2"/>
          <c:order val="2"/>
          <c:tx>
            <c:strRef>
              <c:f>DASHBOARD!$E$4:$E$5</c:f>
              <c:strCache>
                <c:ptCount val="1"/>
                <c:pt idx="0">
                  <c:v>(en blanco)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DASHBOARD!$B$6:$B$14</c:f>
              <c:strCache>
                <c:ptCount val="8"/>
                <c:pt idx="0">
                  <c:v>AlphaChem Pty Ltd</c:v>
                </c:pt>
                <c:pt idx="1">
                  <c:v>BioCore Labs</c:v>
                </c:pt>
                <c:pt idx="2">
                  <c:v>ClearDose Corp</c:v>
                </c:pt>
                <c:pt idx="3">
                  <c:v>HealthSync Ltd</c:v>
                </c:pt>
                <c:pt idx="4">
                  <c:v>MediPro Australia</c:v>
                </c:pt>
                <c:pt idx="5">
                  <c:v>NovaMed Pharma</c:v>
                </c:pt>
                <c:pt idx="6">
                  <c:v>PurePath Wellness</c:v>
                </c:pt>
                <c:pt idx="7">
                  <c:v>VitaShield Inc</c:v>
                </c:pt>
              </c:strCache>
            </c:strRef>
          </c:cat>
          <c:val>
            <c:numRef>
              <c:f>DASHBOARD!$E$6:$E$14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CC01-4911-B057-EF1011312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649407"/>
        <c:axId val="2110652767"/>
      </c:barChart>
      <c:catAx>
        <c:axId val="211064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52767"/>
        <c:crosses val="autoZero"/>
        <c:auto val="1"/>
        <c:lblAlgn val="ctr"/>
        <c:lblOffset val="100"/>
        <c:noMultiLvlLbl val="0"/>
      </c:catAx>
      <c:valAx>
        <c:axId val="21106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4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[Stability_Dashboard_DEMO.xlsx]DASHBOARD!TablaDinámica2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Historial OOS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DASHBOARD!$C$24:$C$25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DASHBOARD!$B$26:$B$34</c:f>
              <c:strCache>
                <c:ptCount val="8"/>
                <c:pt idx="0">
                  <c:v>AlphaChem Pty Ltd</c:v>
                </c:pt>
                <c:pt idx="1">
                  <c:v>BioCore Labs</c:v>
                </c:pt>
                <c:pt idx="2">
                  <c:v>ClearDose Corp</c:v>
                </c:pt>
                <c:pt idx="3">
                  <c:v>HealthSync Ltd</c:v>
                </c:pt>
                <c:pt idx="4">
                  <c:v>MediPro Australia</c:v>
                </c:pt>
                <c:pt idx="5">
                  <c:v>NovaMed Pharma</c:v>
                </c:pt>
                <c:pt idx="6">
                  <c:v>PurePath Wellness</c:v>
                </c:pt>
                <c:pt idx="7">
                  <c:v>VitaShield Inc</c:v>
                </c:pt>
              </c:strCache>
            </c:strRef>
          </c:cat>
          <c:val>
            <c:numRef>
              <c:f>DASHBOARD!$C$26:$C$34</c:f>
              <c:numCache>
                <c:formatCode>General</c:formatCode>
                <c:ptCount val="8"/>
                <c:pt idx="0">
                  <c:v>7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A-490B-8521-5A4A189E1507}"/>
            </c:ext>
          </c:extLst>
        </c:ser>
        <c:ser>
          <c:idx val="1"/>
          <c:order val="1"/>
          <c:tx>
            <c:strRef>
              <c:f>DASHBOARD!$D$24:$D$25</c:f>
              <c:strCache>
                <c:ptCount val="1"/>
                <c:pt idx="0">
                  <c:v>No OOS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DASHBOARD!$B$26:$B$34</c:f>
              <c:strCache>
                <c:ptCount val="8"/>
                <c:pt idx="0">
                  <c:v>AlphaChem Pty Ltd</c:v>
                </c:pt>
                <c:pt idx="1">
                  <c:v>BioCore Labs</c:v>
                </c:pt>
                <c:pt idx="2">
                  <c:v>ClearDose Corp</c:v>
                </c:pt>
                <c:pt idx="3">
                  <c:v>HealthSync Ltd</c:v>
                </c:pt>
                <c:pt idx="4">
                  <c:v>MediPro Australia</c:v>
                </c:pt>
                <c:pt idx="5">
                  <c:v>NovaMed Pharma</c:v>
                </c:pt>
                <c:pt idx="6">
                  <c:v>PurePath Wellness</c:v>
                </c:pt>
                <c:pt idx="7">
                  <c:v>VitaShield Inc</c:v>
                </c:pt>
              </c:strCache>
            </c:strRef>
          </c:cat>
          <c:val>
            <c:numRef>
              <c:f>DASHBOARD!$D$26:$D$34</c:f>
              <c:numCache>
                <c:formatCode>General</c:formatCode>
                <c:ptCount val="8"/>
                <c:pt idx="0">
                  <c:v>5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A-490B-8521-5A4A189E1507}"/>
            </c:ext>
          </c:extLst>
        </c:ser>
        <c:ser>
          <c:idx val="2"/>
          <c:order val="2"/>
          <c:tx>
            <c:strRef>
              <c:f>DASHBOARD!$E$24:$E$25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DASHBOARD!$B$26:$B$34</c:f>
              <c:strCache>
                <c:ptCount val="8"/>
                <c:pt idx="0">
                  <c:v>AlphaChem Pty Ltd</c:v>
                </c:pt>
                <c:pt idx="1">
                  <c:v>BioCore Labs</c:v>
                </c:pt>
                <c:pt idx="2">
                  <c:v>ClearDose Corp</c:v>
                </c:pt>
                <c:pt idx="3">
                  <c:v>HealthSync Ltd</c:v>
                </c:pt>
                <c:pt idx="4">
                  <c:v>MediPro Australia</c:v>
                </c:pt>
                <c:pt idx="5">
                  <c:v>NovaMed Pharma</c:v>
                </c:pt>
                <c:pt idx="6">
                  <c:v>PurePath Wellness</c:v>
                </c:pt>
                <c:pt idx="7">
                  <c:v>VitaShield Inc</c:v>
                </c:pt>
              </c:strCache>
            </c:strRef>
          </c:cat>
          <c:val>
            <c:numRef>
              <c:f>DASHBOARD!$E$26:$E$34</c:f>
              <c:numCache>
                <c:formatCode>General</c:formatCode>
                <c:ptCount val="8"/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A-490B-8521-5A4A189E1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19935"/>
        <c:axId val="66314655"/>
      </c:barChart>
      <c:catAx>
        <c:axId val="6631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4655"/>
        <c:crosses val="autoZero"/>
        <c:auto val="1"/>
        <c:lblAlgn val="ctr"/>
        <c:lblOffset val="100"/>
        <c:noMultiLvlLbl val="0"/>
      </c:catAx>
      <c:valAx>
        <c:axId val="6631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[Stability_Dashboard_DEMO.xlsx]DASHBOARD!TablaDinámica3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Invoice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DASHBOARD!$C$43:$C$44</c:f>
              <c:strCache>
                <c:ptCount val="1"/>
                <c:pt idx="0">
                  <c:v>Issued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DASHBOARD!$B$45:$B$53</c:f>
              <c:strCache>
                <c:ptCount val="8"/>
                <c:pt idx="0">
                  <c:v>AlphaChem Pty Ltd</c:v>
                </c:pt>
                <c:pt idx="1">
                  <c:v>BioCore Labs</c:v>
                </c:pt>
                <c:pt idx="2">
                  <c:v>ClearDose Corp</c:v>
                </c:pt>
                <c:pt idx="3">
                  <c:v>HealthSync Ltd</c:v>
                </c:pt>
                <c:pt idx="4">
                  <c:v>MediPro Australia</c:v>
                </c:pt>
                <c:pt idx="5">
                  <c:v>NovaMed Pharma</c:v>
                </c:pt>
                <c:pt idx="6">
                  <c:v>PurePath Wellness</c:v>
                </c:pt>
                <c:pt idx="7">
                  <c:v>VitaShield Inc</c:v>
                </c:pt>
              </c:strCache>
            </c:strRef>
          </c:cat>
          <c:val>
            <c:numRef>
              <c:f>DASHBOARD!$C$45:$C$53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8-4DF5-8470-100ECF50B700}"/>
            </c:ext>
          </c:extLst>
        </c:ser>
        <c:ser>
          <c:idx val="1"/>
          <c:order val="1"/>
          <c:tx>
            <c:strRef>
              <c:f>DASHBOARD!$D$43:$D$44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DASHBOARD!$B$45:$B$53</c:f>
              <c:strCache>
                <c:ptCount val="8"/>
                <c:pt idx="0">
                  <c:v>AlphaChem Pty Ltd</c:v>
                </c:pt>
                <c:pt idx="1">
                  <c:v>BioCore Labs</c:v>
                </c:pt>
                <c:pt idx="2">
                  <c:v>ClearDose Corp</c:v>
                </c:pt>
                <c:pt idx="3">
                  <c:v>HealthSync Ltd</c:v>
                </c:pt>
                <c:pt idx="4">
                  <c:v>MediPro Australia</c:v>
                </c:pt>
                <c:pt idx="5">
                  <c:v>NovaMed Pharma</c:v>
                </c:pt>
                <c:pt idx="6">
                  <c:v>PurePath Wellness</c:v>
                </c:pt>
                <c:pt idx="7">
                  <c:v>VitaShield Inc</c:v>
                </c:pt>
              </c:strCache>
            </c:strRef>
          </c:cat>
          <c:val>
            <c:numRef>
              <c:f>DASHBOARD!$D$45:$D$53</c:f>
              <c:numCache>
                <c:formatCode>General</c:formatCode>
                <c:ptCount val="8"/>
                <c:pt idx="0">
                  <c:v>9</c:v>
                </c:pt>
                <c:pt idx="1">
                  <c:v>5</c:v>
                </c:pt>
                <c:pt idx="2">
                  <c:v>13</c:v>
                </c:pt>
                <c:pt idx="3">
                  <c:v>15</c:v>
                </c:pt>
                <c:pt idx="4">
                  <c:v>20</c:v>
                </c:pt>
                <c:pt idx="5">
                  <c:v>13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8-4DF5-8470-100ECF50B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51711"/>
        <c:axId val="43052655"/>
      </c:barChart>
      <c:catAx>
        <c:axId val="7145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2655"/>
        <c:crosses val="autoZero"/>
        <c:auto val="1"/>
        <c:lblAlgn val="ctr"/>
        <c:lblOffset val="100"/>
        <c:noMultiLvlLbl val="0"/>
      </c:catAx>
      <c:valAx>
        <c:axId val="4305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110490</xdr:colOff>
      <xdr:row>3</xdr:row>
      <xdr:rowOff>17145</xdr:rowOff>
    </xdr:from>
    <xdr:to>
      <xdr:col>8</xdr:col>
      <xdr:colOff>358140</xdr:colOff>
      <xdr:row>16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lient">
              <a:extLst>
                <a:ext uri="{FF2B5EF4-FFF2-40B4-BE49-F238E27FC236}">
                  <a16:creationId xmlns:a16="http://schemas.microsoft.com/office/drawing/2014/main" id="{8B1A368E-90F5-FD65-0C6E-294E8E70A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5465" y="563880"/>
              <a:ext cx="1832610" cy="2465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443865</xdr:colOff>
      <xdr:row>3</xdr:row>
      <xdr:rowOff>26670</xdr:rowOff>
    </xdr:from>
    <xdr:to>
      <xdr:col>9</xdr:col>
      <xdr:colOff>1501140</xdr:colOff>
      <xdr:row>16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us Final">
              <a:extLst>
                <a:ext uri="{FF2B5EF4-FFF2-40B4-BE49-F238E27FC236}">
                  <a16:creationId xmlns:a16="http://schemas.microsoft.com/office/drawing/2014/main" id="{976A0435-3463-C2B6-AA14-EF683268E0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Fin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36180" y="567690"/>
              <a:ext cx="185547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767715</xdr:colOff>
      <xdr:row>3</xdr:row>
      <xdr:rowOff>952</xdr:rowOff>
    </xdr:from>
    <xdr:to>
      <xdr:col>16</xdr:col>
      <xdr:colOff>601980</xdr:colOff>
      <xdr:row>18</xdr:row>
      <xdr:rowOff>29527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345D57-FBF7-7005-6217-B1656E5C6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74295</xdr:colOff>
      <xdr:row>23</xdr:row>
      <xdr:rowOff>5715</xdr:rowOff>
    </xdr:from>
    <xdr:to>
      <xdr:col>8</xdr:col>
      <xdr:colOff>320040</xdr:colOff>
      <xdr:row>36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lient 1">
              <a:extLst>
                <a:ext uri="{FF2B5EF4-FFF2-40B4-BE49-F238E27FC236}">
                  <a16:creationId xmlns:a16="http://schemas.microsoft.com/office/drawing/2014/main" id="{7DD3B993-05DA-1287-C297-1FD338F236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9270" y="4170045"/>
              <a:ext cx="1830705" cy="2478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377190</xdr:colOff>
      <xdr:row>23</xdr:row>
      <xdr:rowOff>11430</xdr:rowOff>
    </xdr:from>
    <xdr:to>
      <xdr:col>9</xdr:col>
      <xdr:colOff>1428750</xdr:colOff>
      <xdr:row>36</xdr:row>
      <xdr:rowOff>131445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OOS&#10;(Clean)">
              <a:extLst>
                <a:ext uri="{FF2B5EF4-FFF2-40B4-BE49-F238E27FC236}">
                  <a16:creationId xmlns:a16="http://schemas.microsoft.com/office/drawing/2014/main" id="{9FA16546-DB25-F6BA-F683-DC5190F442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OS&#10;(Clean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73315" y="4177665"/>
              <a:ext cx="1838325" cy="2472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701040</xdr:colOff>
      <xdr:row>23</xdr:row>
      <xdr:rowOff>10477</xdr:rowOff>
    </xdr:from>
    <xdr:to>
      <xdr:col>16</xdr:col>
      <xdr:colOff>531495</xdr:colOff>
      <xdr:row>38</xdr:row>
      <xdr:rowOff>39052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8CE308F-DC7A-A728-A4D7-E5B39F907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131445</xdr:colOff>
      <xdr:row>42</xdr:row>
      <xdr:rowOff>7620</xdr:rowOff>
    </xdr:from>
    <xdr:to>
      <xdr:col>7</xdr:col>
      <xdr:colOff>339090</xdr:colOff>
      <xdr:row>55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lient 2">
              <a:extLst>
                <a:ext uri="{FF2B5EF4-FFF2-40B4-BE49-F238E27FC236}">
                  <a16:creationId xmlns:a16="http://schemas.microsoft.com/office/drawing/2014/main" id="{4ADA0E31-D63A-ADE8-BBDD-E2EB44154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2030" y="7610475"/>
              <a:ext cx="1832610" cy="2472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38100</xdr:colOff>
      <xdr:row>42</xdr:row>
      <xdr:rowOff>6667</xdr:rowOff>
    </xdr:from>
    <xdr:to>
      <xdr:col>14</xdr:col>
      <xdr:colOff>657225</xdr:colOff>
      <xdr:row>57</xdr:row>
      <xdr:rowOff>35242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4D043FB-A73B-842F-2C72-5B77AAD3D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148590</xdr:colOff>
      <xdr:row>62</xdr:row>
      <xdr:rowOff>179070</xdr:rowOff>
    </xdr:from>
    <xdr:to>
      <xdr:col>8</xdr:col>
      <xdr:colOff>396240</xdr:colOff>
      <xdr:row>76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Week&#10;(Actual Pull)">
              <a:extLst>
                <a:ext uri="{FF2B5EF4-FFF2-40B4-BE49-F238E27FC236}">
                  <a16:creationId xmlns:a16="http://schemas.microsoft.com/office/drawing/2014/main" id="{5E1579F6-51FF-F80F-5DE0-7BDAD0AC8F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&#10;(Actual Pull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3565" y="11397615"/>
              <a:ext cx="1832610" cy="2470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207645</xdr:colOff>
      <xdr:row>61</xdr:row>
      <xdr:rowOff>7620</xdr:rowOff>
    </xdr:from>
    <xdr:to>
      <xdr:col>16</xdr:col>
      <xdr:colOff>453390</xdr:colOff>
      <xdr:row>74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tatus Final&#10;(Clean)">
              <a:extLst>
                <a:ext uri="{FF2B5EF4-FFF2-40B4-BE49-F238E27FC236}">
                  <a16:creationId xmlns:a16="http://schemas.microsoft.com/office/drawing/2014/main" id="{2106D10C-9118-F096-CAA7-B7E75FCF03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Final&#10;(Clean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60780" y="11049000"/>
              <a:ext cx="1823085" cy="2468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ian Bernal" refreshedDate="46187.54088912037" createdVersion="8" refreshedVersion="8" minRefreshableVersion="3" recordCount="101" xr:uid="{47B7C632-AE5A-4655-B3C5-27459BAE8619}">
  <cacheSource type="worksheet">
    <worksheetSource ref="A3:L104" sheet="INVOICE &amp; REPORT TRACKER"/>
  </cacheSource>
  <cacheFields count="12">
    <cacheField name="Client" numFmtId="0">
      <sharedItems count="8">
        <s v="NovaMed Pharma"/>
        <s v="BioCore Labs"/>
        <s v="HealthSync Ltd"/>
        <s v="PurePath Wellness"/>
        <s v="VitaShield Inc"/>
        <s v="ClearDose Corp"/>
        <s v="MediPro Australia"/>
        <s v="AlphaChem Pty Ltd"/>
      </sharedItems>
    </cacheField>
    <cacheField name="Stability No." numFmtId="0">
      <sharedItems/>
    </cacheField>
    <cacheField name="Product Name" numFmtId="0">
      <sharedItems/>
    </cacheField>
    <cacheField name="Batch No." numFmtId="0">
      <sharedItems/>
    </cacheField>
    <cacheField name="Timepoint" numFmtId="0">
      <sharedItems/>
    </cacheField>
    <cacheField name="Invoice No." numFmtId="0">
      <sharedItems containsBlank="1"/>
    </cacheField>
    <cacheField name="Report Sent Deadline" numFmtId="0">
      <sharedItems containsNonDate="0" containsDate="1" containsString="0" containsBlank="1" minDate="2025-05-28T00:00:00" maxDate="2026-08-11T00:00:00"/>
    </cacheField>
    <cacheField name="Report Sent to Client Date" numFmtId="0">
      <sharedItems containsNonDate="0" containsDate="1" containsString="0" containsBlank="1" minDate="2025-05-18T00:00:00" maxDate="2026-06-09T00:00:00"/>
    </cacheField>
    <cacheField name="PO" numFmtId="0">
      <sharedItems containsBlank="1"/>
    </cacheField>
    <cacheField name="Status Final" numFmtId="0">
      <sharedItems/>
    </cacheField>
    <cacheField name="KEY_x000a_(Stability+Timepoint)" numFmtId="0">
      <sharedItems/>
    </cacheField>
    <cacheField name="Invoice Status" numFmtId="0">
      <sharedItems count="2">
        <s v="Issued"/>
        <s v="Pending"/>
      </sharedItems>
    </cacheField>
  </cacheFields>
  <extLst>
    <ext xmlns:x14="http://schemas.microsoft.com/office/spreadsheetml/2009/9/main" uri="{725AE2AE-9491-48be-B2B4-4EB974FC3084}">
      <x14:pivotCacheDefinition pivotCacheId="115051623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ian Bernal" refreshedDate="46187.545917129632" createdVersion="8" refreshedVersion="8" minRefreshableVersion="3" recordCount="110" xr:uid="{AFC389CE-358C-4DEF-BDC1-8C3C7A662304}">
  <cacheSource type="worksheet">
    <worksheetSource ref="A4:W114" sheet="WEEKLY PULL-OUT SCHEDULE"/>
  </cacheSource>
  <cacheFields count="23">
    <cacheField name="Client" numFmtId="0">
      <sharedItems count="8">
        <s v="NovaMed Pharma"/>
        <s v="BioCore Labs"/>
        <s v="HealthSync Ltd"/>
        <s v="PurePath Wellness"/>
        <s v="VitaShield Inc"/>
        <s v="ClearDose Corp"/>
        <s v="MediPro Australia"/>
        <s v="AlphaChem Pty Ltd"/>
      </sharedItems>
    </cacheField>
    <cacheField name="Stability No." numFmtId="0">
      <sharedItems/>
    </cacheField>
    <cacheField name="Product Name" numFmtId="0">
      <sharedItems/>
    </cacheField>
    <cacheField name="Timepoint" numFmtId="0">
      <sharedItems/>
    </cacheField>
    <cacheField name="Storage Conditions" numFmtId="0">
      <sharedItems/>
    </cacheField>
    <cacheField name="Scheduled Retrieval" numFmtId="0">
      <sharedItems containsNonDate="0" containsDate="1" containsString="0" containsBlank="1" minDate="2025-04-09T00:00:00" maxDate="2026-06-20T00:00:00"/>
    </cacheField>
    <cacheField name="Window Start" numFmtId="0">
      <sharedItems containsNonDate="0" containsDate="1" containsString="0" containsBlank="1" minDate="2025-04-06T00:00:00" maxDate="2026-06-20T00:00:00"/>
    </cacheField>
    <cacheField name="Window End" numFmtId="0">
      <sharedItems containsNonDate="0" containsDate="1" containsString="0" containsBlank="1" minDate="2025-04-20T00:00:00" maxDate="2026-07-04T00:00:00"/>
    </cacheField>
    <cacheField name="Actual Pull Date" numFmtId="0">
      <sharedItems containsNonDate="0" containsDate="1" containsString="0" containsBlank="1" minDate="2025-04-13T00:00:00" maxDate="2026-06-27T00:00:00"/>
    </cacheField>
    <cacheField name="Testing Deadline" numFmtId="0">
      <sharedItems containsNonDate="0" containsDate="1" containsString="0" containsBlank="1" minDate="2025-05-13T00:00:00" maxDate="2026-07-27T00:00:00"/>
    </cacheField>
    <cacheField name="Days to Window" numFmtId="0">
      <sharedItems containsDate="1" containsMixedTypes="1" minDate="1900-01-06T00:00:00" maxDate="1900-01-07T00:00:00"/>
    </cacheField>
    <cacheField name="STATUS" numFmtId="0">
      <sharedItems containsBlank="1"/>
    </cacheField>
    <cacheField name="Testing Status" numFmtId="0">
      <sharedItems containsBlank="1"/>
    </cacheField>
    <cacheField name="Status Final" numFmtId="0">
      <sharedItems containsBlank="1" count="3">
        <s v="Completed"/>
        <m/>
        <s v="Not Completed"/>
      </sharedItems>
    </cacheField>
    <cacheField name="QIDR #" numFmtId="0">
      <sharedItems containsBlank="1"/>
    </cacheField>
    <cacheField name="OOS" numFmtId="0">
      <sharedItems/>
    </cacheField>
    <cacheField name="Comment" numFmtId="0">
      <sharedItems containsBlank="1"/>
    </cacheField>
    <cacheField name="Documentation Completed" numFmtId="0">
      <sharedItems containsBlank="1"/>
    </cacheField>
    <cacheField name="KEY_x000a_(Stability+Timepoint)" numFmtId="0">
      <sharedItems/>
    </cacheField>
    <cacheField name="Status Final_x000a_(Clean)" numFmtId="0">
      <sharedItems count="3">
        <s v="Completed"/>
        <s v="Pending"/>
        <s v="Not Completed"/>
      </sharedItems>
    </cacheField>
    <cacheField name="Year" numFmtId="0">
      <sharedItems containsMixedTypes="1" containsNumber="1" containsInteger="1" minValue="2025" maxValue="2026" count="3">
        <n v="2025"/>
        <s v=""/>
        <n v="2026"/>
      </sharedItems>
    </cacheField>
    <cacheField name="OOS_x000a_(Clean)" numFmtId="0">
      <sharedItems count="3">
        <s v="No OOS"/>
        <s v="Open"/>
        <s v="Closed"/>
      </sharedItems>
    </cacheField>
    <cacheField name="Week_x000a_(Actual Pull)" numFmtId="0">
      <sharedItems containsMixedTypes="1" containsNumber="1" containsInteger="1" minValue="1" maxValue="52" count="88">
        <s v="Week 3 of April"/>
        <s v=""/>
        <s v="Week 4 of May"/>
        <s v="Week 3 of May"/>
        <s v="Week 2 of May"/>
        <s v="Week 1 of October"/>
        <s v="Week 1 of May"/>
        <s v="Week 4 of February"/>
        <s v="Week 4 of July"/>
        <s v="Week 4 of January"/>
        <s v="Week 1 of November"/>
        <s v="Week 5 of August"/>
        <s v="Week 1 of January"/>
        <s v="Week 2 of March"/>
        <s v="Week 3 of September"/>
        <s v="Week 4 of June"/>
        <s v="Week 2 of June"/>
        <s v="Week 4 of October"/>
        <s v="Week 3 of October"/>
        <s v="Week 5 of April"/>
        <s v="Week 2 of December"/>
        <s v="Week 3 of January"/>
        <s v="Week 4 of December"/>
        <s v="Week 1 of June"/>
        <s v="Week 3 of February"/>
        <s v="Week 3 of June"/>
        <s v="Week 2 of April"/>
        <s v="Week 2 of August"/>
        <s v="Week 5 of May"/>
        <s v="Week 1 of April"/>
        <s v="Week 5 of July"/>
        <s v="Week 4 of March"/>
        <s v="Week 5 of October"/>
        <s v="Week 1 of February"/>
        <s v="Week 4 of April"/>
        <s v="Week 5 of June"/>
        <s v="Week 5 of January"/>
        <s v="Week 5 of September"/>
        <s v="Week 1 of July"/>
        <s v="Week 2 of September"/>
        <s v="Week 1 of September"/>
        <s v="Week 2 of November"/>
        <s v="Week 1 of August"/>
        <s v="Week 3 of December"/>
        <s v="Week 2 of October"/>
        <s v="Week 2 of February"/>
        <n v="16" u="1"/>
        <n v="21" u="1"/>
        <n v="19" u="1"/>
        <n v="40" u="1"/>
        <n v="8" u="1"/>
        <n v="30" u="1"/>
        <n v="4" u="1"/>
        <n v="45" u="1"/>
        <n v="35" u="1"/>
        <n v="2" u="1"/>
        <n v="11" u="1"/>
        <n v="38" u="1"/>
        <n v="26" u="1"/>
        <n v="24" u="1"/>
        <n v="43" u="1"/>
        <n v="42" u="1"/>
        <n v="18" u="1"/>
        <n v="50" u="1"/>
        <n v="3" u="1"/>
        <n v="52" u="1"/>
        <n v="23" u="1"/>
        <n v="25" u="1"/>
        <n v="15" u="1"/>
        <n v="22" u="1"/>
        <n v="33" u="1"/>
        <n v="20" u="1"/>
        <n v="14" u="1"/>
        <n v="31" u="1"/>
        <n v="12" u="1"/>
        <n v="44" u="1"/>
        <n v="6" u="1"/>
        <n v="17" u="1"/>
        <n v="27" u="1"/>
        <n v="5" u="1"/>
        <n v="28" u="1"/>
        <n v="37" u="1"/>
        <n v="36" u="1"/>
        <n v="32" u="1"/>
        <n v="46" u="1"/>
        <n v="51" u="1"/>
        <n v="1" u="1"/>
        <n v="7" u="1"/>
      </sharedItems>
    </cacheField>
  </cacheFields>
  <extLst>
    <ext xmlns:x14="http://schemas.microsoft.com/office/spreadsheetml/2009/9/main" uri="{725AE2AE-9491-48be-B2B4-4EB974FC3084}">
      <x14:pivotCacheDefinition pivotCacheId="18511302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s v="801"/>
    <s v="Omega-3 Fish Oil Capsules"/>
    <s v="BN-9864"/>
    <s v="M9"/>
    <s v="IN2600004"/>
    <d v="2025-06-01T00:00:00"/>
    <d v="2025-05-18T00:00:00"/>
    <s v="PO-90931"/>
    <s v="Completed"/>
    <s v="801|M9"/>
    <x v="0"/>
  </r>
  <r>
    <x v="0"/>
    <s v="801"/>
    <s v="Omega-3 Fish Oil Capsules"/>
    <s v="BN-2480"/>
    <s v="M24"/>
    <s v="IN2600006"/>
    <m/>
    <m/>
    <s v="PO-66881"/>
    <s v="Pending"/>
    <s v="801|M24"/>
    <x v="0"/>
  </r>
  <r>
    <x v="0"/>
    <s v="801"/>
    <s v="Omega-3 Fish Oil Capsules"/>
    <s v="BN-8269"/>
    <s v="M1"/>
    <m/>
    <d v="2025-07-07T00:00:00"/>
    <m/>
    <m/>
    <s v="Pending"/>
    <s v="801|M1"/>
    <x v="1"/>
  </r>
  <r>
    <x v="0"/>
    <s v="801"/>
    <s v="Omega-3 Fish Oil Capsules"/>
    <s v="BN-1753"/>
    <s v="M12"/>
    <m/>
    <d v="2026-07-03T00:00:00"/>
    <m/>
    <m/>
    <s v="Pending"/>
    <s v="801|M12"/>
    <x v="1"/>
  </r>
  <r>
    <x v="0"/>
    <s v="821"/>
    <s v="Zinc Lozenges 10mg"/>
    <s v="BN-7141"/>
    <s v="M9"/>
    <m/>
    <d v="2025-06-25T00:00:00"/>
    <m/>
    <m/>
    <s v="Not Completed"/>
    <s v="821|M9"/>
    <x v="1"/>
  </r>
  <r>
    <x v="0"/>
    <s v="821"/>
    <s v="Zinc Lozenges 10mg"/>
    <s v="BN-3950"/>
    <s v="M18"/>
    <m/>
    <d v="2025-11-18T00:00:00"/>
    <m/>
    <m/>
    <s v="Pending"/>
    <s v="821|M18"/>
    <x v="1"/>
  </r>
  <r>
    <x v="0"/>
    <s v="821"/>
    <s v="Zinc Lozenges 10mg"/>
    <s v="BN-4945"/>
    <s v="M1"/>
    <m/>
    <d v="2025-06-21T00:00:00"/>
    <m/>
    <m/>
    <s v="Not Completed"/>
    <s v="821|M1"/>
    <x v="1"/>
  </r>
  <r>
    <x v="0"/>
    <s v="821"/>
    <s v="Zinc Lozenges 10mg"/>
    <s v="BN-8555"/>
    <s v="M24"/>
    <m/>
    <d v="2026-04-08T00:00:00"/>
    <m/>
    <m/>
    <s v="Pending"/>
    <s v="821|M24"/>
    <x v="1"/>
  </r>
  <r>
    <x v="0"/>
    <s v="821"/>
    <s v="Zinc Lozenges 10mg"/>
    <s v="BN-8622"/>
    <s v="M3"/>
    <m/>
    <d v="2025-09-10T00:00:00"/>
    <m/>
    <m/>
    <s v="Completed"/>
    <s v="821|M3"/>
    <x v="1"/>
  </r>
  <r>
    <x v="0"/>
    <s v="832"/>
    <s v="Turmeric Extract Capsules"/>
    <s v="BN-2210"/>
    <s v="M36"/>
    <m/>
    <m/>
    <m/>
    <m/>
    <s v="Pending"/>
    <s v="832|M36"/>
    <x v="1"/>
  </r>
  <r>
    <x v="0"/>
    <s v="832"/>
    <s v="Turmeric Extract Capsules"/>
    <s v="BN-5901"/>
    <s v="M9"/>
    <m/>
    <d v="2026-03-10T00:00:00"/>
    <m/>
    <m/>
    <s v="Pending"/>
    <s v="832|M9"/>
    <x v="1"/>
  </r>
  <r>
    <x v="0"/>
    <s v="832"/>
    <s v="Turmeric Extract Capsules"/>
    <s v="BN-8484"/>
    <s v="M18"/>
    <m/>
    <m/>
    <m/>
    <m/>
    <s v="Pending"/>
    <s v="832|M18"/>
    <x v="1"/>
  </r>
  <r>
    <x v="0"/>
    <s v="832"/>
    <s v="Turmeric Extract Capsules"/>
    <s v="BN-8916"/>
    <s v="M24"/>
    <m/>
    <d v="2025-12-18T00:00:00"/>
    <m/>
    <m/>
    <s v="Completed"/>
    <s v="832|M24"/>
    <x v="1"/>
  </r>
  <r>
    <x v="0"/>
    <s v="833"/>
    <s v="CoQ10 100mg Softgels"/>
    <s v="BN-5847"/>
    <s v="M12"/>
    <m/>
    <d v="2025-10-13T00:00:00"/>
    <m/>
    <m/>
    <s v="Not Completed"/>
    <s v="833|M12"/>
    <x v="1"/>
  </r>
  <r>
    <x v="0"/>
    <s v="833"/>
    <s v="CoQ10 100mg Softgels"/>
    <s v="BN-5497"/>
    <s v="M24"/>
    <m/>
    <d v="2025-07-09T00:00:00"/>
    <m/>
    <m/>
    <s v="Pending"/>
    <s v="833|M24"/>
    <x v="1"/>
  </r>
  <r>
    <x v="1"/>
    <s v="843"/>
    <s v="Iron Supplement Drops"/>
    <s v="BN-9138"/>
    <s v="M1"/>
    <m/>
    <m/>
    <m/>
    <m/>
    <s v="Pending"/>
    <s v="843|M1"/>
    <x v="1"/>
  </r>
  <r>
    <x v="1"/>
    <s v="843"/>
    <s v="Iron Supplement Drops"/>
    <s v="BN-6772"/>
    <s v="M3"/>
    <s v="IN2600046"/>
    <d v="2026-02-21T00:00:00"/>
    <d v="2026-02-13T00:00:00"/>
    <s v="PO-93442"/>
    <s v="Pending"/>
    <s v="843|M3"/>
    <x v="0"/>
  </r>
  <r>
    <x v="1"/>
    <s v="843"/>
    <s v="Iron Supplement Drops"/>
    <s v="BN-2591"/>
    <s v="M12"/>
    <m/>
    <d v="2026-04-24T00:00:00"/>
    <m/>
    <m/>
    <s v="Pending"/>
    <s v="843|M12"/>
    <x v="1"/>
  </r>
  <r>
    <x v="1"/>
    <s v="843"/>
    <s v="Iron Supplement Drops"/>
    <s v="BN-8222"/>
    <s v="M36"/>
    <m/>
    <d v="2025-11-05T00:00:00"/>
    <m/>
    <m/>
    <s v="Pending"/>
    <s v="843|M36"/>
    <x v="1"/>
  </r>
  <r>
    <x v="1"/>
    <s v="851"/>
    <s v="Vitamin C 500mg Tablets"/>
    <s v="BN-6352"/>
    <s v="M24"/>
    <m/>
    <d v="2026-08-10T00:00:00"/>
    <m/>
    <m/>
    <s v="Pending"/>
    <s v="851|M24"/>
    <x v="1"/>
  </r>
  <r>
    <x v="1"/>
    <s v="851"/>
    <s v="Vitamin C 500mg Tablets"/>
    <s v="BN-9837"/>
    <s v="M6"/>
    <m/>
    <d v="2025-07-04T00:00:00"/>
    <m/>
    <m/>
    <s v="Pending"/>
    <s v="851|M6"/>
    <x v="1"/>
  </r>
  <r>
    <x v="2"/>
    <s v="853"/>
    <s v="Omega-3 Fish Oil Capsules"/>
    <s v="BN-5465"/>
    <s v="M18"/>
    <m/>
    <d v="2025-07-26T00:00:00"/>
    <m/>
    <m/>
    <s v="Not Completed"/>
    <s v="853|M18"/>
    <x v="1"/>
  </r>
  <r>
    <x v="2"/>
    <s v="853"/>
    <s v="Omega-3 Fish Oil Capsules"/>
    <s v="BN-5835"/>
    <s v="M24"/>
    <m/>
    <d v="2026-02-21T00:00:00"/>
    <m/>
    <m/>
    <s v="Completed"/>
    <s v="853|M24"/>
    <x v="1"/>
  </r>
  <r>
    <x v="2"/>
    <s v="853"/>
    <s v="Omega-3 Fish Oil Capsules"/>
    <s v="BN-8673"/>
    <s v="M1"/>
    <m/>
    <d v="2025-12-10T00:00:00"/>
    <m/>
    <m/>
    <s v="Pending"/>
    <s v="853|M1"/>
    <x v="1"/>
  </r>
  <r>
    <x v="2"/>
    <s v="853"/>
    <s v="Omega-3 Fish Oil Capsules"/>
    <s v="BN-7511"/>
    <s v="M3"/>
    <m/>
    <d v="2025-12-01T00:00:00"/>
    <m/>
    <m/>
    <s v="Pending"/>
    <s v="853|M3"/>
    <x v="1"/>
  </r>
  <r>
    <x v="2"/>
    <s v="853"/>
    <s v="Omega-3 Fish Oil Capsules"/>
    <s v="BN-2479"/>
    <s v="M12"/>
    <m/>
    <d v="2025-06-14T00:00:00"/>
    <m/>
    <m/>
    <s v="Pending"/>
    <s v="853|M12"/>
    <x v="1"/>
  </r>
  <r>
    <x v="2"/>
    <s v="853"/>
    <s v="Omega-3 Fish Oil Capsules"/>
    <s v="BN-3024"/>
    <s v="M36"/>
    <m/>
    <d v="2026-01-28T00:00:00"/>
    <m/>
    <m/>
    <s v="Pending"/>
    <s v="853|M36"/>
    <x v="1"/>
  </r>
  <r>
    <x v="2"/>
    <s v="856"/>
    <s v="Probiotic Complex"/>
    <s v="BN-7242"/>
    <s v="M9"/>
    <m/>
    <d v="2026-03-03T00:00:00"/>
    <m/>
    <m/>
    <s v="Pending"/>
    <s v="856|M9"/>
    <x v="1"/>
  </r>
  <r>
    <x v="2"/>
    <s v="856"/>
    <s v="Probiotic Complex"/>
    <s v="BN-4830"/>
    <s v="M36"/>
    <s v="IN2600080"/>
    <d v="2026-02-07T00:00:00"/>
    <d v="2026-02-07T00:00:00"/>
    <s v="PO-13280"/>
    <s v="Pending"/>
    <s v="856|M36"/>
    <x v="0"/>
  </r>
  <r>
    <x v="2"/>
    <s v="856"/>
    <s v="Probiotic Complex"/>
    <s v="BN-4626"/>
    <s v="M1"/>
    <s v="IN2600083"/>
    <d v="2026-04-24T00:00:00"/>
    <d v="2026-04-29T00:00:00"/>
    <s v="PO-18285"/>
    <s v="Pending"/>
    <s v="856|M1"/>
    <x v="0"/>
  </r>
  <r>
    <x v="2"/>
    <s v="875"/>
    <s v="Turmeric Extract Capsules"/>
    <s v="BN-7689"/>
    <s v="M3"/>
    <m/>
    <d v="2025-07-22T00:00:00"/>
    <m/>
    <m/>
    <s v="Pending"/>
    <s v="875|M3"/>
    <x v="1"/>
  </r>
  <r>
    <x v="2"/>
    <s v="875"/>
    <s v="Turmeric Extract Capsules"/>
    <s v="BN-5986"/>
    <s v="M12"/>
    <m/>
    <d v="2026-07-16T00:00:00"/>
    <m/>
    <m/>
    <s v="Pending"/>
    <s v="875|M12"/>
    <x v="1"/>
  </r>
  <r>
    <x v="2"/>
    <s v="875"/>
    <s v="Turmeric Extract Capsules"/>
    <s v="BN-9807"/>
    <s v="M36"/>
    <m/>
    <d v="2025-07-23T00:00:00"/>
    <m/>
    <m/>
    <s v="Completed"/>
    <s v="875|M36"/>
    <x v="1"/>
  </r>
  <r>
    <x v="2"/>
    <s v="882"/>
    <s v="Turmeric Extract Capsules"/>
    <s v="BN-7866"/>
    <s v="M9"/>
    <m/>
    <d v="2026-07-23T00:00:00"/>
    <m/>
    <m/>
    <s v="Completed"/>
    <s v="882|M9"/>
    <x v="1"/>
  </r>
  <r>
    <x v="2"/>
    <s v="882"/>
    <s v="Turmeric Extract Capsules"/>
    <s v="BN-2622"/>
    <s v="M18"/>
    <m/>
    <d v="2026-04-07T00:00:00"/>
    <m/>
    <m/>
    <s v="Not Completed"/>
    <s v="882|M18"/>
    <x v="1"/>
  </r>
  <r>
    <x v="2"/>
    <s v="882"/>
    <s v="Turmeric Extract Capsules"/>
    <s v="BN-1536"/>
    <s v="M24"/>
    <m/>
    <m/>
    <m/>
    <m/>
    <s v="Pending"/>
    <s v="882|M24"/>
    <x v="1"/>
  </r>
  <r>
    <x v="2"/>
    <s v="882"/>
    <s v="Turmeric Extract Capsules"/>
    <s v="BN-4868"/>
    <s v="M6"/>
    <m/>
    <m/>
    <m/>
    <m/>
    <s v="Pending"/>
    <s v="882|M6"/>
    <x v="1"/>
  </r>
  <r>
    <x v="2"/>
    <s v="882"/>
    <s v="Turmeric Extract Capsules"/>
    <s v="BN-9920"/>
    <s v="M36"/>
    <m/>
    <d v="2026-07-30T00:00:00"/>
    <m/>
    <m/>
    <s v="Pending"/>
    <s v="882|M36"/>
    <x v="1"/>
  </r>
  <r>
    <x v="3"/>
    <s v="896"/>
    <s v="CoQ10 100mg Softgels"/>
    <s v="BN-7523"/>
    <s v="M9"/>
    <m/>
    <d v="2025-05-28T00:00:00"/>
    <m/>
    <m/>
    <s v="Pending"/>
    <s v="896|M9"/>
    <x v="1"/>
  </r>
  <r>
    <x v="3"/>
    <s v="896"/>
    <s v="CoQ10 100mg Softgels"/>
    <s v="BN-2501"/>
    <s v="M24"/>
    <s v="IN2600113"/>
    <d v="2025-07-10T00:00:00"/>
    <d v="2025-07-16T00:00:00"/>
    <s v="PO-37801"/>
    <s v="Completed"/>
    <s v="896|M24"/>
    <x v="0"/>
  </r>
  <r>
    <x v="3"/>
    <s v="896"/>
    <s v="CoQ10 100mg Softgels"/>
    <s v="BN-1828"/>
    <s v="M3"/>
    <m/>
    <d v="2026-08-05T00:00:00"/>
    <m/>
    <m/>
    <s v="Not Completed"/>
    <s v="896|M3"/>
    <x v="1"/>
  </r>
  <r>
    <x v="3"/>
    <s v="896"/>
    <s v="CoQ10 100mg Softgels"/>
    <s v="BN-4362"/>
    <s v="M18"/>
    <m/>
    <d v="2025-06-20T00:00:00"/>
    <m/>
    <m/>
    <s v="Pending"/>
    <s v="896|M18"/>
    <x v="1"/>
  </r>
  <r>
    <x v="3"/>
    <s v="907"/>
    <s v="CoQ10 100mg Softgels"/>
    <s v="BN-4817"/>
    <s v="M6"/>
    <m/>
    <d v="2025-07-14T00:00:00"/>
    <m/>
    <m/>
    <s v="Pending"/>
    <s v="907|M6"/>
    <x v="1"/>
  </r>
  <r>
    <x v="3"/>
    <s v="907"/>
    <s v="CoQ10 100mg Softgels"/>
    <s v="BN-1046"/>
    <s v="M36"/>
    <m/>
    <d v="2026-02-06T00:00:00"/>
    <m/>
    <m/>
    <s v="Pending"/>
    <s v="907|M36"/>
    <x v="1"/>
  </r>
  <r>
    <x v="3"/>
    <s v="927"/>
    <s v="Iron Supplement Drops"/>
    <s v="BN-9850"/>
    <s v="M3"/>
    <s v="IN2600125"/>
    <d v="2025-10-30T00:00:00"/>
    <d v="2025-10-23T00:00:00"/>
    <s v="PO-32871"/>
    <s v="Pending"/>
    <s v="927|M3"/>
    <x v="0"/>
  </r>
  <r>
    <x v="3"/>
    <s v="927"/>
    <s v="Iron Supplement Drops"/>
    <s v="BN-1243"/>
    <s v="M18"/>
    <m/>
    <d v="2026-04-27T00:00:00"/>
    <m/>
    <m/>
    <s v="Not Completed"/>
    <s v="927|M18"/>
    <x v="1"/>
  </r>
  <r>
    <x v="3"/>
    <s v="927"/>
    <s v="Iron Supplement Drops"/>
    <s v="BN-6304"/>
    <s v="M6"/>
    <m/>
    <d v="2026-06-22T00:00:00"/>
    <m/>
    <m/>
    <s v="Pending"/>
    <s v="927|M6"/>
    <x v="1"/>
  </r>
  <r>
    <x v="3"/>
    <s v="927"/>
    <s v="Iron Supplement Drops"/>
    <s v="BN-9619"/>
    <s v="M24"/>
    <m/>
    <d v="2025-11-03T00:00:00"/>
    <m/>
    <m/>
    <s v="Not Completed"/>
    <s v="927|M24"/>
    <x v="1"/>
  </r>
  <r>
    <x v="4"/>
    <s v="943"/>
    <s v="Magnesium Citrate Powder"/>
    <s v="BN-6931"/>
    <s v="M36"/>
    <m/>
    <d v="2026-05-18T00:00:00"/>
    <m/>
    <m/>
    <s v="Pending"/>
    <s v="943|M36"/>
    <x v="1"/>
  </r>
  <r>
    <x v="4"/>
    <s v="943"/>
    <s v="Magnesium Citrate Powder"/>
    <s v="BN-4629"/>
    <s v="M9"/>
    <m/>
    <m/>
    <m/>
    <m/>
    <s v="Pending"/>
    <s v="943|M9"/>
    <x v="1"/>
  </r>
  <r>
    <x v="4"/>
    <s v="943"/>
    <s v="Magnesium Citrate Powder"/>
    <s v="BN-5941"/>
    <s v="M18"/>
    <m/>
    <d v="2026-07-24T00:00:00"/>
    <m/>
    <m/>
    <s v="Pending"/>
    <s v="943|M18"/>
    <x v="1"/>
  </r>
  <r>
    <x v="4"/>
    <s v="963"/>
    <s v="CoQ10 100mg Softgels"/>
    <s v="BN-8847"/>
    <s v="M36"/>
    <s v="IN2600151"/>
    <d v="2026-02-20T00:00:00"/>
    <d v="2026-03-04T00:00:00"/>
    <s v="PO-62640"/>
    <s v="Not Completed"/>
    <s v="963|M36"/>
    <x v="0"/>
  </r>
  <r>
    <x v="4"/>
    <s v="963"/>
    <s v="CoQ10 100mg Softgels"/>
    <s v="BN-2204"/>
    <s v="M12"/>
    <m/>
    <d v="2026-06-18T00:00:00"/>
    <m/>
    <m/>
    <s v="Pending"/>
    <s v="963|M12"/>
    <x v="1"/>
  </r>
  <r>
    <x v="4"/>
    <s v="963"/>
    <s v="CoQ10 100mg Softgels"/>
    <s v="BN-2076"/>
    <s v="M18"/>
    <m/>
    <d v="2025-09-13T00:00:00"/>
    <m/>
    <m/>
    <s v="Pending"/>
    <s v="963|M18"/>
    <x v="1"/>
  </r>
  <r>
    <x v="4"/>
    <s v="963"/>
    <s v="CoQ10 100mg Softgels"/>
    <s v="BN-9984"/>
    <s v="M24"/>
    <m/>
    <d v="2026-05-06T00:00:00"/>
    <m/>
    <m/>
    <s v="Not Completed"/>
    <s v="963|M24"/>
    <x v="1"/>
  </r>
  <r>
    <x v="4"/>
    <s v="963"/>
    <s v="CoQ10 100mg Softgels"/>
    <s v="BN-9692"/>
    <s v="M9"/>
    <m/>
    <d v="2025-12-14T00:00:00"/>
    <m/>
    <m/>
    <s v="Not Completed"/>
    <s v="963|M9"/>
    <x v="1"/>
  </r>
  <r>
    <x v="5"/>
    <s v="979"/>
    <s v="Melatonin 3mg Tablets"/>
    <s v="BN-2624"/>
    <s v="M18"/>
    <m/>
    <d v="2026-07-17T00:00:00"/>
    <m/>
    <m/>
    <s v="Pending"/>
    <s v="979|M18"/>
    <x v="1"/>
  </r>
  <r>
    <x v="5"/>
    <s v="979"/>
    <s v="Melatonin 3mg Tablets"/>
    <s v="BN-4522"/>
    <s v="M6"/>
    <m/>
    <d v="2025-05-30T00:00:00"/>
    <m/>
    <m/>
    <s v="Pending"/>
    <s v="979|M6"/>
    <x v="1"/>
  </r>
  <r>
    <x v="5"/>
    <s v="979"/>
    <s v="Melatonin 3mg Tablets"/>
    <s v="BN-6553"/>
    <s v="M9"/>
    <s v="IN2600180"/>
    <d v="2025-12-03T00:00:00"/>
    <d v="2025-12-14T00:00:00"/>
    <s v="PO-69441"/>
    <s v="Pending"/>
    <s v="979|M9"/>
    <x v="0"/>
  </r>
  <r>
    <x v="5"/>
    <s v="994"/>
    <s v="Probiotic Complex"/>
    <s v="BN-7992"/>
    <s v="M1"/>
    <m/>
    <d v="2025-10-30T00:00:00"/>
    <m/>
    <m/>
    <s v="Pending"/>
    <s v="994|M1"/>
    <x v="1"/>
  </r>
  <r>
    <x v="5"/>
    <s v="994"/>
    <s v="Probiotic Complex"/>
    <s v="BN-8770"/>
    <s v="M6"/>
    <m/>
    <m/>
    <m/>
    <m/>
    <s v="Pending"/>
    <s v="994|M6"/>
    <x v="1"/>
  </r>
  <r>
    <x v="5"/>
    <s v="994"/>
    <s v="Probiotic Complex"/>
    <s v="BN-7105"/>
    <s v="M24"/>
    <m/>
    <m/>
    <m/>
    <m/>
    <s v="Pending"/>
    <s v="994|M24"/>
    <x v="1"/>
  </r>
  <r>
    <x v="5"/>
    <s v="1013"/>
    <s v="Omega-3 Fish Oil Capsules"/>
    <s v="BN-6400"/>
    <s v="M36"/>
    <m/>
    <d v="2026-03-22T00:00:00"/>
    <m/>
    <m/>
    <s v="Completed"/>
    <s v="1013|M36"/>
    <x v="1"/>
  </r>
  <r>
    <x v="5"/>
    <s v="1013"/>
    <s v="Omega-3 Fish Oil Capsules"/>
    <s v="BN-1842"/>
    <s v="M18"/>
    <m/>
    <m/>
    <m/>
    <m/>
    <s v="Pending"/>
    <s v="1013|M18"/>
    <x v="1"/>
  </r>
  <r>
    <x v="5"/>
    <s v="1013"/>
    <s v="Omega-3 Fish Oil Capsules"/>
    <s v="BN-2697"/>
    <s v="M6"/>
    <m/>
    <d v="2026-04-02T00:00:00"/>
    <m/>
    <m/>
    <s v="Completed"/>
    <s v="1013|M6"/>
    <x v="1"/>
  </r>
  <r>
    <x v="5"/>
    <s v="1013"/>
    <s v="Omega-3 Fish Oil Capsules"/>
    <s v="BN-4674"/>
    <s v="M24"/>
    <m/>
    <d v="2025-06-06T00:00:00"/>
    <m/>
    <m/>
    <s v="Pending"/>
    <s v="1013|M24"/>
    <x v="1"/>
  </r>
  <r>
    <x v="5"/>
    <s v="1014"/>
    <s v="Iron Supplement Drops"/>
    <s v="BN-7022"/>
    <s v="M36"/>
    <m/>
    <d v="2025-08-14T00:00:00"/>
    <m/>
    <m/>
    <s v="Pending"/>
    <s v="1014|M36"/>
    <x v="1"/>
  </r>
  <r>
    <x v="5"/>
    <s v="1014"/>
    <s v="Iron Supplement Drops"/>
    <s v="BN-8030"/>
    <s v="M1"/>
    <m/>
    <d v="2026-03-15T00:00:00"/>
    <m/>
    <m/>
    <s v="Pending"/>
    <s v="1014|M1"/>
    <x v="1"/>
  </r>
  <r>
    <x v="5"/>
    <s v="1014"/>
    <s v="Iron Supplement Drops"/>
    <s v="BN-1430"/>
    <s v="M9"/>
    <s v="IN2600214"/>
    <d v="2026-06-04T00:00:00"/>
    <d v="2026-06-08T00:00:00"/>
    <s v="PO-96223"/>
    <s v="Pending"/>
    <s v="1014|M9"/>
    <x v="0"/>
  </r>
  <r>
    <x v="5"/>
    <s v="1014"/>
    <s v="Iron Supplement Drops"/>
    <s v="BN-5477"/>
    <s v="M6"/>
    <m/>
    <d v="2025-11-13T00:00:00"/>
    <m/>
    <m/>
    <s v="Pending"/>
    <s v="1014|M6"/>
    <x v="1"/>
  </r>
  <r>
    <x v="5"/>
    <s v="1014"/>
    <s v="Iron Supplement Drops"/>
    <s v="BN-6751"/>
    <s v="M18"/>
    <m/>
    <d v="2025-08-21T00:00:00"/>
    <m/>
    <m/>
    <s v="Not Completed"/>
    <s v="1014|M18"/>
    <x v="1"/>
  </r>
  <r>
    <x v="6"/>
    <s v="1024"/>
    <s v="Magnesium Citrate Powder"/>
    <s v="BN-2140"/>
    <s v="M36"/>
    <m/>
    <d v="2026-02-21T00:00:00"/>
    <m/>
    <m/>
    <s v="Pending"/>
    <s v="1024|M36"/>
    <x v="1"/>
  </r>
  <r>
    <x v="6"/>
    <s v="1024"/>
    <s v="Magnesium Citrate Powder"/>
    <s v="BN-2503"/>
    <s v="M12"/>
    <m/>
    <d v="2025-10-24T00:00:00"/>
    <m/>
    <m/>
    <s v="Pending"/>
    <s v="1024|M12"/>
    <x v="1"/>
  </r>
  <r>
    <x v="6"/>
    <s v="1024"/>
    <s v="Magnesium Citrate Powder"/>
    <s v="BN-8432"/>
    <s v="M24"/>
    <m/>
    <d v="2026-05-21T00:00:00"/>
    <m/>
    <m/>
    <s v="Pending"/>
    <s v="1024|M24"/>
    <x v="1"/>
  </r>
  <r>
    <x v="6"/>
    <s v="1024"/>
    <s v="Magnesium Citrate Powder"/>
    <s v="BN-2391"/>
    <s v="M6"/>
    <m/>
    <d v="2025-10-17T00:00:00"/>
    <m/>
    <m/>
    <s v="Pending"/>
    <s v="1024|M6"/>
    <x v="1"/>
  </r>
  <r>
    <x v="6"/>
    <s v="1024"/>
    <s v="Magnesium Citrate Powder"/>
    <s v="BN-1815"/>
    <s v="M9"/>
    <m/>
    <m/>
    <m/>
    <m/>
    <s v="Pending"/>
    <s v="1024|M9"/>
    <x v="1"/>
  </r>
  <r>
    <x v="6"/>
    <s v="1043"/>
    <s v="Vitamin C 500mg Tablets"/>
    <s v="BN-8957"/>
    <s v="M36"/>
    <m/>
    <d v="2025-09-22T00:00:00"/>
    <m/>
    <m/>
    <s v="Pending"/>
    <s v="1043|M36"/>
    <x v="1"/>
  </r>
  <r>
    <x v="6"/>
    <s v="1043"/>
    <s v="Vitamin C 500mg Tablets"/>
    <s v="BN-9394"/>
    <s v="M9"/>
    <m/>
    <m/>
    <m/>
    <m/>
    <s v="Pending"/>
    <s v="1043|M9"/>
    <x v="1"/>
  </r>
  <r>
    <x v="6"/>
    <s v="1043"/>
    <s v="Vitamin C 500mg Tablets"/>
    <s v="BN-8972"/>
    <s v="M24"/>
    <m/>
    <d v="2025-06-28T00:00:00"/>
    <m/>
    <m/>
    <s v="Completed"/>
    <s v="1043|M24"/>
    <x v="1"/>
  </r>
  <r>
    <x v="6"/>
    <s v="1043"/>
    <s v="Vitamin C 500mg Tablets"/>
    <s v="BN-7475"/>
    <s v="M6"/>
    <m/>
    <d v="2025-12-28T00:00:00"/>
    <m/>
    <m/>
    <s v="Pending"/>
    <s v="1043|M6"/>
    <x v="1"/>
  </r>
  <r>
    <x v="6"/>
    <s v="1043"/>
    <s v="Vitamin C 500mg Tablets"/>
    <s v="BN-5938"/>
    <s v="M3"/>
    <m/>
    <d v="2026-06-10T00:00:00"/>
    <m/>
    <m/>
    <s v="Not Completed"/>
    <s v="1043|M3"/>
    <x v="1"/>
  </r>
  <r>
    <x v="6"/>
    <s v="1046"/>
    <s v="CoQ10 100mg Softgels"/>
    <s v="BN-5742"/>
    <s v="M1"/>
    <m/>
    <d v="2025-06-01T00:00:00"/>
    <m/>
    <m/>
    <s v="Pending"/>
    <s v="1046|M1"/>
    <x v="1"/>
  </r>
  <r>
    <x v="6"/>
    <s v="1046"/>
    <s v="CoQ10 100mg Softgels"/>
    <s v="BN-3878"/>
    <s v="M9"/>
    <m/>
    <d v="2025-09-28T00:00:00"/>
    <m/>
    <m/>
    <s v="Pending"/>
    <s v="1046|M9"/>
    <x v="1"/>
  </r>
  <r>
    <x v="6"/>
    <s v="1046"/>
    <s v="CoQ10 100mg Softgels"/>
    <s v="BN-9196"/>
    <s v="M24"/>
    <m/>
    <d v="2025-07-31T00:00:00"/>
    <m/>
    <m/>
    <s v="Pending"/>
    <s v="1046|M24"/>
    <x v="1"/>
  </r>
  <r>
    <x v="6"/>
    <s v="1046"/>
    <s v="CoQ10 100mg Softgels"/>
    <s v="BN-2180"/>
    <s v="M12"/>
    <m/>
    <d v="2026-03-16T00:00:00"/>
    <m/>
    <m/>
    <s v="Pending"/>
    <s v="1046|M12"/>
    <x v="1"/>
  </r>
  <r>
    <x v="6"/>
    <s v="1055"/>
    <s v="Melatonin 3mg Tablets"/>
    <s v="BN-1307"/>
    <s v="M36"/>
    <m/>
    <d v="2025-09-21T00:00:00"/>
    <m/>
    <m/>
    <s v="Completed"/>
    <s v="1055|M36"/>
    <x v="1"/>
  </r>
  <r>
    <x v="6"/>
    <s v="1055"/>
    <s v="Melatonin 3mg Tablets"/>
    <s v="BN-8033"/>
    <s v="M1"/>
    <m/>
    <d v="2026-03-07T00:00:00"/>
    <m/>
    <m/>
    <s v="Not Completed"/>
    <s v="1055|M1"/>
    <x v="1"/>
  </r>
  <r>
    <x v="6"/>
    <s v="1055"/>
    <s v="Melatonin 3mg Tablets"/>
    <s v="BN-5743"/>
    <s v="M12"/>
    <m/>
    <d v="2025-12-25T00:00:00"/>
    <m/>
    <m/>
    <s v="Pending"/>
    <s v="1055|M12"/>
    <x v="1"/>
  </r>
  <r>
    <x v="6"/>
    <s v="1055"/>
    <s v="Melatonin 3mg Tablets"/>
    <s v="BN-3815"/>
    <s v="M24"/>
    <m/>
    <d v="2026-04-24T00:00:00"/>
    <m/>
    <m/>
    <s v="Not Completed"/>
    <s v="1055|M24"/>
    <x v="1"/>
  </r>
  <r>
    <x v="6"/>
    <s v="1055"/>
    <s v="Melatonin 3mg Tablets"/>
    <s v="BN-2443"/>
    <s v="M9"/>
    <m/>
    <d v="2026-07-06T00:00:00"/>
    <m/>
    <m/>
    <s v="Pending"/>
    <s v="1055|M9"/>
    <x v="1"/>
  </r>
  <r>
    <x v="6"/>
    <s v="1055"/>
    <s v="Melatonin 3mg Tablets"/>
    <s v="BN-7560"/>
    <s v="M6"/>
    <m/>
    <d v="2025-07-14T00:00:00"/>
    <m/>
    <m/>
    <s v="Pending"/>
    <s v="1055|M6"/>
    <x v="1"/>
  </r>
  <r>
    <x v="7"/>
    <s v="1067"/>
    <s v="CoQ10 100mg Softgels"/>
    <s v="BN-6562"/>
    <s v="M36"/>
    <m/>
    <m/>
    <m/>
    <m/>
    <s v="Pending"/>
    <s v="1067|M36"/>
    <x v="1"/>
  </r>
  <r>
    <x v="7"/>
    <s v="1067"/>
    <s v="CoQ10 100mg Softgels"/>
    <s v="BN-9363"/>
    <s v="M24"/>
    <m/>
    <d v="2026-03-23T00:00:00"/>
    <m/>
    <m/>
    <s v="Not Completed"/>
    <s v="1067|M24"/>
    <x v="1"/>
  </r>
  <r>
    <x v="7"/>
    <s v="1067"/>
    <s v="CoQ10 100mg Softgels"/>
    <s v="BN-6724"/>
    <s v="M1"/>
    <m/>
    <d v="2025-07-02T00:00:00"/>
    <m/>
    <m/>
    <s v="Completed"/>
    <s v="1067|M1"/>
    <x v="1"/>
  </r>
  <r>
    <x v="7"/>
    <s v="1067"/>
    <s v="CoQ10 100mg Softgels"/>
    <s v="BN-4871"/>
    <s v="M3"/>
    <s v="IN2600290"/>
    <d v="2026-01-31T00:00:00"/>
    <d v="2026-01-19T00:00:00"/>
    <s v="PO-29194"/>
    <s v="Pending"/>
    <s v="1067|M3"/>
    <x v="0"/>
  </r>
  <r>
    <x v="7"/>
    <s v="1067"/>
    <s v="CoQ10 100mg Softgels"/>
    <s v="BN-2234"/>
    <s v="M6"/>
    <m/>
    <d v="2025-11-28T00:00:00"/>
    <m/>
    <m/>
    <s v="Pending"/>
    <s v="1067|M6"/>
    <x v="1"/>
  </r>
  <r>
    <x v="7"/>
    <s v="1067"/>
    <s v="CoQ10 100mg Softgels"/>
    <s v="BN-8601"/>
    <s v="M9"/>
    <m/>
    <d v="2025-12-14T00:00:00"/>
    <m/>
    <m/>
    <s v="Pending"/>
    <s v="1067|M9"/>
    <x v="1"/>
  </r>
  <r>
    <x v="7"/>
    <s v="1086"/>
    <s v="Turmeric Extract Capsules"/>
    <s v="BN-6295"/>
    <s v="M6"/>
    <m/>
    <d v="2026-02-18T00:00:00"/>
    <m/>
    <m/>
    <s v="Pending"/>
    <s v="1086|M6"/>
    <x v="1"/>
  </r>
  <r>
    <x v="7"/>
    <s v="1086"/>
    <s v="Turmeric Extract Capsules"/>
    <s v="BN-8205"/>
    <s v="M9"/>
    <m/>
    <d v="2026-06-17T00:00:00"/>
    <m/>
    <m/>
    <s v="Completed"/>
    <s v="1086|M9"/>
    <x v="1"/>
  </r>
  <r>
    <x v="7"/>
    <s v="1086"/>
    <s v="Turmeric Extract Capsules"/>
    <s v="BN-1920"/>
    <s v="M24"/>
    <m/>
    <d v="2026-08-04T00:00:00"/>
    <m/>
    <m/>
    <s v="Pending"/>
    <s v="1086|M24"/>
    <x v="1"/>
  </r>
  <r>
    <x v="7"/>
    <s v="1086"/>
    <s v="Turmeric Extract Capsules"/>
    <s v="BN-8404"/>
    <s v="M36"/>
    <m/>
    <m/>
    <m/>
    <m/>
    <s v="Pending"/>
    <s v="1086|M3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801"/>
    <s v="Omega-3 Fish Oil Capsules"/>
    <s v="M9"/>
    <s v="30°C/65%RH"/>
    <d v="2025-04-17T00:00:00"/>
    <d v="2025-04-10T00:00:00"/>
    <d v="2025-04-24T00:00:00"/>
    <d v="2025-04-17T00:00:00"/>
    <d v="2025-05-17T00:00:00"/>
    <d v="1900-01-06T00:00:00"/>
    <s v="Active"/>
    <s v="In Progress"/>
    <x v="0"/>
    <m/>
    <s v="N/A"/>
    <m/>
    <s v="Yes"/>
    <s v="801|M9"/>
    <x v="0"/>
    <x v="0"/>
    <x v="0"/>
    <x v="0"/>
  </r>
  <r>
    <x v="0"/>
    <s v="801"/>
    <s v="Omega-3 Fish Oil Capsules"/>
    <s v="M3"/>
    <s v="40°C/75%RH"/>
    <m/>
    <m/>
    <m/>
    <m/>
    <m/>
    <s v=""/>
    <m/>
    <m/>
    <x v="1"/>
    <m/>
    <s v="26-03-007"/>
    <m/>
    <m/>
    <s v="801|M3"/>
    <x v="1"/>
    <x v="1"/>
    <x v="1"/>
    <x v="1"/>
  </r>
  <r>
    <x v="0"/>
    <s v="801"/>
    <s v="Omega-3 Fish Oil Capsules"/>
    <s v="M24"/>
    <s v="30°C/65%RH"/>
    <m/>
    <m/>
    <m/>
    <m/>
    <m/>
    <s v=""/>
    <m/>
    <m/>
    <x v="1"/>
    <m/>
    <s v="26-03-007"/>
    <m/>
    <m/>
    <s v="801|M24"/>
    <x v="1"/>
    <x v="1"/>
    <x v="1"/>
    <x v="1"/>
  </r>
  <r>
    <x v="0"/>
    <s v="801"/>
    <s v="Omega-3 Fish Oil Capsules"/>
    <s v="M1"/>
    <s v="40°C/75%RH"/>
    <d v="2025-05-22T00:00:00"/>
    <d v="2025-05-16T00:00:00"/>
    <d v="2025-05-30T00:00:00"/>
    <d v="2025-05-23T00:00:00"/>
    <d v="2025-06-22T00:00:00"/>
    <d v="1900-01-06T00:00:00"/>
    <s v="Active"/>
    <s v="In Progress"/>
    <x v="1"/>
    <m/>
    <s v="N/A"/>
    <m/>
    <m/>
    <s v="801|M1"/>
    <x v="1"/>
    <x v="0"/>
    <x v="0"/>
    <x v="2"/>
  </r>
  <r>
    <x v="0"/>
    <s v="801"/>
    <s v="Omega-3 Fish Oil Capsules"/>
    <s v="M12"/>
    <s v="5°C±3°C"/>
    <d v="2026-05-19T00:00:00"/>
    <d v="2026-05-12T00:00:00"/>
    <d v="2026-05-26T00:00:00"/>
    <d v="2026-05-19T00:00:00"/>
    <d v="2026-06-18T00:00:00"/>
    <d v="1900-01-06T00:00:00"/>
    <s v="Active"/>
    <s v="In Progress"/>
    <x v="1"/>
    <m/>
    <s v="N/A"/>
    <m/>
    <m/>
    <s v="801|M12"/>
    <x v="1"/>
    <x v="2"/>
    <x v="0"/>
    <x v="3"/>
  </r>
  <r>
    <x v="0"/>
    <s v="821"/>
    <s v="Zinc Lozenges 10mg"/>
    <s v="M9"/>
    <s v="5°C±3°C"/>
    <d v="2025-04-28T00:00:00"/>
    <d v="2025-05-04T00:00:00"/>
    <d v="2025-05-18T00:00:00"/>
    <d v="2025-05-11T00:00:00"/>
    <d v="2025-06-10T00:00:00"/>
    <d v="1900-01-06T00:00:00"/>
    <s v="Active"/>
    <s v="In Progress"/>
    <x v="2"/>
    <m/>
    <s v="N/A"/>
    <m/>
    <m/>
    <s v="821|M9"/>
    <x v="2"/>
    <x v="0"/>
    <x v="0"/>
    <x v="4"/>
  </r>
  <r>
    <x v="0"/>
    <s v="821"/>
    <s v="Zinc Lozenges 10mg"/>
    <s v="M18"/>
    <s v="40°C/75%RH"/>
    <d v="2025-10-02T00:00:00"/>
    <d v="2025-09-27T00:00:00"/>
    <d v="2025-10-11T00:00:00"/>
    <d v="2025-10-04T00:00:00"/>
    <d v="2025-11-03T00:00:00"/>
    <d v="1900-01-06T00:00:00"/>
    <s v="Active"/>
    <s v="In Progress"/>
    <x v="1"/>
    <m/>
    <s v="26-02-003"/>
    <m/>
    <m/>
    <s v="821|M18"/>
    <x v="1"/>
    <x v="0"/>
    <x v="1"/>
    <x v="5"/>
  </r>
  <r>
    <x v="0"/>
    <s v="821"/>
    <s v="Zinc Lozenges 10mg"/>
    <s v="M1"/>
    <s v="30°C/65%RH"/>
    <d v="2025-04-28T00:00:00"/>
    <d v="2025-04-30T00:00:00"/>
    <d v="2025-05-14T00:00:00"/>
    <d v="2025-05-07T00:00:00"/>
    <d v="2025-06-06T00:00:00"/>
    <d v="1900-01-06T00:00:00"/>
    <s v="Active"/>
    <s v="In Progress"/>
    <x v="2"/>
    <m/>
    <s v="N/A"/>
    <m/>
    <m/>
    <s v="821|M1"/>
    <x v="2"/>
    <x v="0"/>
    <x v="0"/>
    <x v="6"/>
  </r>
  <r>
    <x v="0"/>
    <s v="821"/>
    <s v="Zinc Lozenges 10mg"/>
    <s v="M24"/>
    <s v="40°C/75%RH"/>
    <d v="2026-02-11T00:00:00"/>
    <d v="2026-02-15T00:00:00"/>
    <d v="2026-03-01T00:00:00"/>
    <d v="2026-02-22T00:00:00"/>
    <d v="2026-03-24T00:00:00"/>
    <d v="1900-01-06T00:00:00"/>
    <s v="Active"/>
    <s v="In Progress"/>
    <x v="1"/>
    <m/>
    <s v="N/A"/>
    <m/>
    <m/>
    <s v="821|M24"/>
    <x v="1"/>
    <x v="2"/>
    <x v="0"/>
    <x v="7"/>
  </r>
  <r>
    <x v="0"/>
    <s v="821"/>
    <s v="Zinc Lozenges 10mg"/>
    <s v="M3"/>
    <s v="25°C/60%RH"/>
    <d v="2025-07-14T00:00:00"/>
    <d v="2025-07-20T00:00:00"/>
    <d v="2025-08-03T00:00:00"/>
    <d v="2025-07-27T00:00:00"/>
    <d v="2025-08-26T00:00:00"/>
    <d v="1900-01-06T00:00:00"/>
    <s v="Active"/>
    <s v="In Progress"/>
    <x v="0"/>
    <m/>
    <s v="26-02-003"/>
    <m/>
    <s v="Yes"/>
    <s v="821|M3"/>
    <x v="0"/>
    <x v="0"/>
    <x v="1"/>
    <x v="8"/>
  </r>
  <r>
    <x v="0"/>
    <s v="832"/>
    <s v="Turmeric Extract Capsules"/>
    <s v="M36"/>
    <s v="40°C/75%RH"/>
    <m/>
    <m/>
    <m/>
    <m/>
    <m/>
    <s v=""/>
    <m/>
    <m/>
    <x v="1"/>
    <m/>
    <s v="N/A"/>
    <m/>
    <m/>
    <s v="832|M36"/>
    <x v="1"/>
    <x v="1"/>
    <x v="0"/>
    <x v="1"/>
  </r>
  <r>
    <x v="0"/>
    <s v="832"/>
    <s v="Turmeric Extract Capsules"/>
    <s v="M9"/>
    <s v="30°C/65%RH"/>
    <d v="2026-01-18T00:00:00"/>
    <d v="2026-01-17T00:00:00"/>
    <d v="2026-01-31T00:00:00"/>
    <d v="2026-01-24T00:00:00"/>
    <d v="2026-02-23T00:00:00"/>
    <d v="1900-01-06T00:00:00"/>
    <s v="Active"/>
    <s v="In Progress"/>
    <x v="1"/>
    <m/>
    <s v="N/A"/>
    <m/>
    <m/>
    <s v="832|M9"/>
    <x v="1"/>
    <x v="2"/>
    <x v="0"/>
    <x v="9"/>
  </r>
  <r>
    <x v="0"/>
    <s v="832"/>
    <s v="Turmeric Extract Capsules"/>
    <s v="M18"/>
    <s v="30°C/65%RH"/>
    <m/>
    <m/>
    <m/>
    <m/>
    <m/>
    <s v=""/>
    <m/>
    <m/>
    <x v="1"/>
    <m/>
    <s v="N/A"/>
    <m/>
    <s v="Yes"/>
    <s v="832|M18"/>
    <x v="1"/>
    <x v="1"/>
    <x v="0"/>
    <x v="1"/>
  </r>
  <r>
    <x v="0"/>
    <s v="832"/>
    <s v="Turmeric Extract Capsules"/>
    <s v="M24"/>
    <s v="5°C±3°C"/>
    <d v="2025-10-25T00:00:00"/>
    <d v="2025-10-27T00:00:00"/>
    <d v="2025-11-10T00:00:00"/>
    <d v="2025-11-03T00:00:00"/>
    <d v="2025-12-03T00:00:00"/>
    <d v="1900-01-06T00:00:00"/>
    <s v="Active"/>
    <s v="In Progress"/>
    <x v="0"/>
    <m/>
    <s v="26-03-007"/>
    <m/>
    <s v="Yes"/>
    <s v="832|M24"/>
    <x v="0"/>
    <x v="0"/>
    <x v="1"/>
    <x v="10"/>
  </r>
  <r>
    <x v="0"/>
    <s v="833"/>
    <s v="CoQ10 100mg Softgels"/>
    <s v="M12"/>
    <s v="40°C/75%RH"/>
    <d v="2025-08-23T00:00:00"/>
    <d v="2025-08-22T00:00:00"/>
    <d v="2025-09-05T00:00:00"/>
    <d v="2025-08-29T00:00:00"/>
    <d v="2025-09-28T00:00:00"/>
    <d v="1900-01-06T00:00:00"/>
    <s v="Active"/>
    <s v="In Progress"/>
    <x v="2"/>
    <s v="QIDR-880"/>
    <s v="26-04-012"/>
    <m/>
    <m/>
    <s v="833|M12"/>
    <x v="2"/>
    <x v="0"/>
    <x v="1"/>
    <x v="11"/>
  </r>
  <r>
    <x v="0"/>
    <s v="833"/>
    <s v="CoQ10 100mg Softgels"/>
    <s v="M24"/>
    <s v="30°C/65%RH"/>
    <d v="2025-05-12T00:00:00"/>
    <d v="2025-05-18T00:00:00"/>
    <d v="2025-06-01T00:00:00"/>
    <d v="2025-05-25T00:00:00"/>
    <d v="2025-06-24T00:00:00"/>
    <d v="1900-01-06T00:00:00"/>
    <s v="Active"/>
    <s v="In Progress"/>
    <x v="1"/>
    <m/>
    <s v="N/A"/>
    <m/>
    <m/>
    <s v="833|M24"/>
    <x v="1"/>
    <x v="0"/>
    <x v="0"/>
    <x v="2"/>
  </r>
  <r>
    <x v="0"/>
    <s v="833"/>
    <s v="CoQ10 100mg Softgels"/>
    <s v="M18"/>
    <s v="40°C/75%RH"/>
    <d v="2026-04-20T00:00:00"/>
    <d v="2026-04-27T00:00:00"/>
    <d v="2026-05-11T00:00:00"/>
    <d v="2026-05-04T00:00:00"/>
    <d v="2026-06-03T00:00:00"/>
    <d v="1900-01-06T00:00:00"/>
    <s v="Active"/>
    <s v="In Progress"/>
    <x v="1"/>
    <m/>
    <s v="N/A"/>
    <m/>
    <m/>
    <s v="833|M18"/>
    <x v="1"/>
    <x v="2"/>
    <x v="0"/>
    <x v="6"/>
  </r>
  <r>
    <x v="1"/>
    <s v="843"/>
    <s v="Iron Supplement Drops"/>
    <s v="M1"/>
    <s v="30°C/65%RH"/>
    <m/>
    <m/>
    <m/>
    <m/>
    <m/>
    <s v=""/>
    <m/>
    <m/>
    <x v="1"/>
    <m/>
    <s v="N/A"/>
    <m/>
    <m/>
    <s v="843|M1"/>
    <x v="1"/>
    <x v="1"/>
    <x v="0"/>
    <x v="1"/>
  </r>
  <r>
    <x v="1"/>
    <s v="843"/>
    <s v="Iron Supplement Drops"/>
    <s v="M3"/>
    <s v="30°C/65%RH"/>
    <d v="2026-01-05T00:00:00"/>
    <d v="2025-12-31T00:00:00"/>
    <d v="2026-01-14T00:00:00"/>
    <d v="2026-01-07T00:00:00"/>
    <d v="2026-02-06T00:00:00"/>
    <d v="1900-01-06T00:00:00"/>
    <s v="Active"/>
    <s v="In Progress"/>
    <x v="1"/>
    <m/>
    <s v="26-03-007"/>
    <s v="OOS Closed"/>
    <m/>
    <s v="843|M3"/>
    <x v="1"/>
    <x v="2"/>
    <x v="2"/>
    <x v="12"/>
  </r>
  <r>
    <x v="1"/>
    <s v="843"/>
    <s v="Iron Supplement Drops"/>
    <s v="M12"/>
    <s v="5°C±3°C"/>
    <d v="2026-02-28T00:00:00"/>
    <d v="2026-03-03T00:00:00"/>
    <d v="2026-03-17T00:00:00"/>
    <d v="2026-03-10T00:00:00"/>
    <d v="2026-04-09T00:00:00"/>
    <d v="1900-01-06T00:00:00"/>
    <s v="Active"/>
    <s v="In Progress"/>
    <x v="1"/>
    <m/>
    <s v="26-04-012"/>
    <s v="OOS Closed"/>
    <m/>
    <s v="843|M12"/>
    <x v="1"/>
    <x v="2"/>
    <x v="2"/>
    <x v="13"/>
  </r>
  <r>
    <x v="1"/>
    <s v="843"/>
    <s v="Iron Supplement Drops"/>
    <s v="M36"/>
    <s v="30°C/65%RH"/>
    <d v="2025-09-21T00:00:00"/>
    <d v="2025-09-14T00:00:00"/>
    <d v="2025-09-28T00:00:00"/>
    <d v="2025-09-21T00:00:00"/>
    <d v="2025-10-21T00:00:00"/>
    <d v="1900-01-06T00:00:00"/>
    <s v="Active"/>
    <s v="In Progress"/>
    <x v="1"/>
    <m/>
    <s v="N/A"/>
    <m/>
    <m/>
    <s v="843|M36"/>
    <x v="1"/>
    <x v="0"/>
    <x v="0"/>
    <x v="14"/>
  </r>
  <r>
    <x v="1"/>
    <s v="851"/>
    <s v="Vitamin C 500mg Tablets"/>
    <s v="M1"/>
    <s v="30°C/65%RH"/>
    <m/>
    <m/>
    <m/>
    <m/>
    <m/>
    <s v=""/>
    <m/>
    <m/>
    <x v="1"/>
    <m/>
    <s v="26-01-001"/>
    <s v="OOS Closed"/>
    <m/>
    <s v="851|M1"/>
    <x v="1"/>
    <x v="1"/>
    <x v="2"/>
    <x v="1"/>
  </r>
  <r>
    <x v="1"/>
    <s v="851"/>
    <s v="Vitamin C 500mg Tablets"/>
    <s v="M24"/>
    <s v="5°C±3°C"/>
    <d v="2026-06-17T00:00:00"/>
    <d v="2026-06-19T00:00:00"/>
    <d v="2026-07-03T00:00:00"/>
    <d v="2026-06-26T00:00:00"/>
    <d v="2026-07-26T00:00:00"/>
    <d v="1900-01-06T00:00:00"/>
    <s v="Active"/>
    <s v="In Progress"/>
    <x v="1"/>
    <m/>
    <s v="26-04-012"/>
    <m/>
    <m/>
    <s v="851|M24"/>
    <x v="1"/>
    <x v="2"/>
    <x v="1"/>
    <x v="15"/>
  </r>
  <r>
    <x v="1"/>
    <s v="851"/>
    <s v="Vitamin C 500mg Tablets"/>
    <s v="M6"/>
    <s v="5°C±3°C"/>
    <d v="2025-05-10T00:00:00"/>
    <d v="2025-05-13T00:00:00"/>
    <d v="2025-05-27T00:00:00"/>
    <d v="2025-05-20T00:00:00"/>
    <d v="2025-06-19T00:00:00"/>
    <d v="1900-01-06T00:00:00"/>
    <s v="Active"/>
    <s v="In Progress"/>
    <x v="1"/>
    <s v="QIDR-155"/>
    <s v="26-02-003"/>
    <m/>
    <m/>
    <s v="851|M6"/>
    <x v="1"/>
    <x v="0"/>
    <x v="1"/>
    <x v="3"/>
  </r>
  <r>
    <x v="2"/>
    <s v="853"/>
    <s v="Omega-3 Fish Oil Capsules"/>
    <s v="M18"/>
    <s v="25°C/60%RH"/>
    <d v="2025-06-05T00:00:00"/>
    <d v="2025-06-04T00:00:00"/>
    <d v="2025-06-18T00:00:00"/>
    <d v="2025-06-11T00:00:00"/>
    <d v="2025-07-11T00:00:00"/>
    <d v="1900-01-06T00:00:00"/>
    <s v="Active"/>
    <s v="In Progress"/>
    <x v="2"/>
    <m/>
    <s v="26-01-001"/>
    <m/>
    <m/>
    <s v="853|M18"/>
    <x v="2"/>
    <x v="0"/>
    <x v="1"/>
    <x v="16"/>
  </r>
  <r>
    <x v="2"/>
    <s v="853"/>
    <s v="Omega-3 Fish Oil Capsules"/>
    <s v="M24"/>
    <s v="25°C/60%RH"/>
    <d v="2026-01-06T00:00:00"/>
    <d v="2025-12-31T00:00:00"/>
    <d v="2026-01-14T00:00:00"/>
    <d v="2026-01-07T00:00:00"/>
    <d v="2026-02-06T00:00:00"/>
    <d v="1900-01-06T00:00:00"/>
    <s v="Active"/>
    <s v="In Progress"/>
    <x v="0"/>
    <s v="QIDR-969"/>
    <s v="N/A"/>
    <m/>
    <s v="Yes"/>
    <s v="853|M24"/>
    <x v="0"/>
    <x v="2"/>
    <x v="0"/>
    <x v="12"/>
  </r>
  <r>
    <x v="2"/>
    <s v="853"/>
    <s v="Omega-3 Fish Oil Capsules"/>
    <s v="M1"/>
    <s v="5°C±3°C"/>
    <d v="2025-10-19T00:00:00"/>
    <d v="2025-10-19T00:00:00"/>
    <d v="2025-11-02T00:00:00"/>
    <d v="2025-10-26T00:00:00"/>
    <d v="2025-11-25T00:00:00"/>
    <d v="1900-01-06T00:00:00"/>
    <s v="Active"/>
    <s v="In Progress"/>
    <x v="1"/>
    <s v="QIDR-268"/>
    <s v="N/A"/>
    <m/>
    <m/>
    <s v="853|M1"/>
    <x v="1"/>
    <x v="0"/>
    <x v="0"/>
    <x v="17"/>
  </r>
  <r>
    <x v="2"/>
    <s v="853"/>
    <s v="Omega-3 Fish Oil Capsules"/>
    <s v="M3"/>
    <s v="5°C±3°C"/>
    <d v="2025-10-13T00:00:00"/>
    <d v="2025-10-10T00:00:00"/>
    <d v="2025-10-24T00:00:00"/>
    <d v="2025-10-17T00:00:00"/>
    <d v="2025-11-16T00:00:00"/>
    <d v="1900-01-06T00:00:00"/>
    <s v="Active"/>
    <s v="In Progress"/>
    <x v="1"/>
    <m/>
    <s v="26-01-001"/>
    <m/>
    <m/>
    <s v="853|M3"/>
    <x v="1"/>
    <x v="0"/>
    <x v="1"/>
    <x v="18"/>
  </r>
  <r>
    <x v="2"/>
    <s v="853"/>
    <s v="Omega-3 Fish Oil Capsules"/>
    <s v="M12"/>
    <s v="40°C/75%RH"/>
    <d v="2025-04-21T00:00:00"/>
    <d v="2025-04-23T00:00:00"/>
    <d v="2025-05-07T00:00:00"/>
    <d v="2025-04-30T00:00:00"/>
    <d v="2025-05-30T00:00:00"/>
    <d v="1900-01-06T00:00:00"/>
    <s v="Active"/>
    <s v="In Progress"/>
    <x v="1"/>
    <m/>
    <s v="N/A"/>
    <m/>
    <m/>
    <s v="853|M12"/>
    <x v="1"/>
    <x v="0"/>
    <x v="0"/>
    <x v="19"/>
  </r>
  <r>
    <x v="2"/>
    <s v="853"/>
    <s v="Omega-3 Fish Oil Capsules"/>
    <s v="M36"/>
    <s v="25°C/60%RH"/>
    <d v="2025-11-30T00:00:00"/>
    <d v="2025-12-07T00:00:00"/>
    <d v="2025-12-21T00:00:00"/>
    <d v="2025-12-14T00:00:00"/>
    <d v="2026-01-13T00:00:00"/>
    <d v="1900-01-06T00:00:00"/>
    <s v="Active"/>
    <s v="In Progress"/>
    <x v="1"/>
    <s v="QIDR-182"/>
    <s v="N/A"/>
    <m/>
    <m/>
    <s v="853|M36"/>
    <x v="1"/>
    <x v="0"/>
    <x v="0"/>
    <x v="20"/>
  </r>
  <r>
    <x v="2"/>
    <s v="856"/>
    <s v="Probiotic Complex"/>
    <s v="M9"/>
    <s v="25°C/60%RH"/>
    <d v="2026-01-14T00:00:00"/>
    <d v="2026-01-10T00:00:00"/>
    <d v="2026-01-24T00:00:00"/>
    <d v="2026-01-17T00:00:00"/>
    <d v="2026-02-16T00:00:00"/>
    <d v="1900-01-06T00:00:00"/>
    <s v="Active"/>
    <s v="In Progress"/>
    <x v="1"/>
    <m/>
    <s v="N/A"/>
    <m/>
    <m/>
    <s v="856|M9"/>
    <x v="1"/>
    <x v="2"/>
    <x v="0"/>
    <x v="21"/>
  </r>
  <r>
    <x v="2"/>
    <s v="856"/>
    <s v="Probiotic Complex"/>
    <s v="M36"/>
    <s v="40°C/75%RH"/>
    <d v="2025-12-19T00:00:00"/>
    <d v="2025-12-17T00:00:00"/>
    <d v="2025-12-31T00:00:00"/>
    <d v="2025-12-24T00:00:00"/>
    <d v="2026-01-23T00:00:00"/>
    <d v="1900-01-06T00:00:00"/>
    <s v="Active"/>
    <s v="In Progress"/>
    <x v="1"/>
    <m/>
    <s v="N/A"/>
    <m/>
    <m/>
    <s v="856|M36"/>
    <x v="1"/>
    <x v="0"/>
    <x v="0"/>
    <x v="22"/>
  </r>
  <r>
    <x v="2"/>
    <s v="856"/>
    <s v="Probiotic Complex"/>
    <s v="M1"/>
    <s v="25°C/60%RH"/>
    <d v="2026-02-28T00:00:00"/>
    <d v="2026-03-03T00:00:00"/>
    <d v="2026-03-17T00:00:00"/>
    <d v="2026-03-10T00:00:00"/>
    <d v="2026-04-09T00:00:00"/>
    <d v="1900-01-06T00:00:00"/>
    <s v="Active"/>
    <s v="In Progress"/>
    <x v="1"/>
    <m/>
    <s v="26-04-012"/>
    <m/>
    <m/>
    <s v="856|M1"/>
    <x v="1"/>
    <x v="2"/>
    <x v="1"/>
    <x v="13"/>
  </r>
  <r>
    <x v="2"/>
    <s v="875"/>
    <s v="Turmeric Extract Capsules"/>
    <s v="M3"/>
    <s v="30°C/65%RH"/>
    <d v="2025-05-24T00:00:00"/>
    <d v="2025-05-31T00:00:00"/>
    <d v="2025-06-14T00:00:00"/>
    <d v="2025-06-07T00:00:00"/>
    <d v="2025-07-07T00:00:00"/>
    <d v="1900-01-06T00:00:00"/>
    <s v="Active"/>
    <s v="In Progress"/>
    <x v="1"/>
    <m/>
    <s v="N/A"/>
    <m/>
    <m/>
    <s v="875|M3"/>
    <x v="1"/>
    <x v="0"/>
    <x v="0"/>
    <x v="23"/>
  </r>
  <r>
    <x v="2"/>
    <s v="875"/>
    <s v="Turmeric Extract Capsules"/>
    <s v="M12"/>
    <s v="40°C/75%RH"/>
    <d v="2026-05-24T00:00:00"/>
    <d v="2026-05-25T00:00:00"/>
    <d v="2026-06-08T00:00:00"/>
    <d v="2026-06-01T00:00:00"/>
    <d v="2026-07-01T00:00:00"/>
    <d v="1900-01-06T00:00:00"/>
    <s v="Active"/>
    <s v="In Progress"/>
    <x v="1"/>
    <s v="QIDR-206"/>
    <s v="N/A"/>
    <m/>
    <m/>
    <s v="875|M12"/>
    <x v="1"/>
    <x v="2"/>
    <x v="0"/>
    <x v="23"/>
  </r>
  <r>
    <x v="2"/>
    <s v="875"/>
    <s v="Turmeric Extract Capsules"/>
    <s v="M36"/>
    <s v="30°C/65%RH"/>
    <d v="2025-06-04T00:00:00"/>
    <d v="2025-06-01T00:00:00"/>
    <d v="2025-06-15T00:00:00"/>
    <d v="2025-06-08T00:00:00"/>
    <d v="2025-07-08T00:00:00"/>
    <d v="1900-01-06T00:00:00"/>
    <s v="Active"/>
    <s v="In Progress"/>
    <x v="0"/>
    <m/>
    <s v="N/A"/>
    <m/>
    <s v="Yes"/>
    <s v="875|M36"/>
    <x v="0"/>
    <x v="0"/>
    <x v="0"/>
    <x v="16"/>
  </r>
  <r>
    <x v="2"/>
    <s v="882"/>
    <s v="Turmeric Extract Capsules"/>
    <s v="M9"/>
    <s v="25°C/60%RH"/>
    <d v="2026-06-08T00:00:00"/>
    <d v="2026-06-01T00:00:00"/>
    <d v="2026-06-15T00:00:00"/>
    <d v="2026-06-08T00:00:00"/>
    <d v="2026-07-08T00:00:00"/>
    <d v="1900-01-06T00:00:00"/>
    <s v="Active"/>
    <s v="In Progress"/>
    <x v="0"/>
    <m/>
    <s v="26-03-007"/>
    <s v="OOS Closed"/>
    <s v="Yes"/>
    <s v="882|M9"/>
    <x v="0"/>
    <x v="2"/>
    <x v="2"/>
    <x v="16"/>
  </r>
  <r>
    <x v="2"/>
    <s v="882"/>
    <s v="Turmeric Extract Capsules"/>
    <s v="M18"/>
    <s v="5°C±3°C"/>
    <d v="2026-02-17T00:00:00"/>
    <d v="2026-02-14T00:00:00"/>
    <d v="2026-02-28T00:00:00"/>
    <d v="2026-02-21T00:00:00"/>
    <d v="2026-03-23T00:00:00"/>
    <d v="1900-01-06T00:00:00"/>
    <s v="Active"/>
    <s v="In Progress"/>
    <x v="2"/>
    <m/>
    <s v="26-04-012"/>
    <s v="OOS Closed"/>
    <m/>
    <s v="882|M18"/>
    <x v="2"/>
    <x v="2"/>
    <x v="2"/>
    <x v="24"/>
  </r>
  <r>
    <x v="2"/>
    <s v="882"/>
    <s v="Turmeric Extract Capsules"/>
    <s v="M24"/>
    <s v="40°C/75%RH"/>
    <m/>
    <m/>
    <m/>
    <m/>
    <m/>
    <s v=""/>
    <m/>
    <m/>
    <x v="1"/>
    <m/>
    <s v="N/A"/>
    <m/>
    <m/>
    <s v="882|M24"/>
    <x v="1"/>
    <x v="1"/>
    <x v="0"/>
    <x v="1"/>
  </r>
  <r>
    <x v="2"/>
    <s v="882"/>
    <s v="Turmeric Extract Capsules"/>
    <s v="M6"/>
    <s v="40°C/75%RH"/>
    <m/>
    <m/>
    <m/>
    <m/>
    <m/>
    <s v=""/>
    <m/>
    <m/>
    <x v="1"/>
    <m/>
    <s v="N/A"/>
    <m/>
    <m/>
    <s v="882|M6"/>
    <x v="1"/>
    <x v="1"/>
    <x v="0"/>
    <x v="1"/>
  </r>
  <r>
    <x v="2"/>
    <s v="882"/>
    <s v="Turmeric Extract Capsules"/>
    <s v="M36"/>
    <s v="30°C/65%RH"/>
    <d v="2026-06-15T00:00:00"/>
    <d v="2026-06-08T00:00:00"/>
    <d v="2026-06-22T00:00:00"/>
    <d v="2026-06-15T00:00:00"/>
    <d v="2026-07-15T00:00:00"/>
    <d v="1900-01-06T00:00:00"/>
    <s v="Active"/>
    <s v="In Progress"/>
    <x v="1"/>
    <m/>
    <s v="N/A"/>
    <m/>
    <m/>
    <s v="882|M36"/>
    <x v="1"/>
    <x v="2"/>
    <x v="0"/>
    <x v="25"/>
  </r>
  <r>
    <x v="3"/>
    <s v="896"/>
    <s v="CoQ10 100mg Softgels"/>
    <s v="M9"/>
    <s v="30°C/65%RH"/>
    <d v="2025-04-11T00:00:00"/>
    <d v="2025-04-06T00:00:00"/>
    <d v="2025-04-20T00:00:00"/>
    <d v="2025-04-13T00:00:00"/>
    <d v="2025-05-13T00:00:00"/>
    <d v="1900-01-06T00:00:00"/>
    <s v="Active"/>
    <s v="In Progress"/>
    <x v="1"/>
    <m/>
    <s v="26-03-007"/>
    <s v="OOS Closed"/>
    <m/>
    <s v="896|M9"/>
    <x v="1"/>
    <x v="0"/>
    <x v="2"/>
    <x v="26"/>
  </r>
  <r>
    <x v="3"/>
    <s v="896"/>
    <s v="CoQ10 100mg Softgels"/>
    <s v="M24"/>
    <s v="5°C±3°C"/>
    <d v="2025-05-20T00:00:00"/>
    <d v="2025-05-19T00:00:00"/>
    <d v="2025-06-02T00:00:00"/>
    <d v="2025-05-26T00:00:00"/>
    <d v="2025-06-25T00:00:00"/>
    <d v="1900-01-06T00:00:00"/>
    <s v="Active"/>
    <s v="In Progress"/>
    <x v="0"/>
    <m/>
    <s v="26-04-012"/>
    <m/>
    <s v="Yes"/>
    <s v="896|M24"/>
    <x v="0"/>
    <x v="0"/>
    <x v="1"/>
    <x v="2"/>
  </r>
  <r>
    <x v="3"/>
    <s v="896"/>
    <s v="CoQ10 100mg Softgels"/>
    <s v="M3"/>
    <s v="30°C/65%RH"/>
    <d v="2026-06-18T00:00:00"/>
    <d v="2026-06-14T00:00:00"/>
    <d v="2026-06-28T00:00:00"/>
    <d v="2026-06-21T00:00:00"/>
    <d v="2026-07-21T00:00:00"/>
    <d v="1900-01-06T00:00:00"/>
    <s v="Active"/>
    <s v="In Progress"/>
    <x v="2"/>
    <m/>
    <s v="N/A"/>
    <m/>
    <m/>
    <s v="896|M3"/>
    <x v="2"/>
    <x v="2"/>
    <x v="0"/>
    <x v="25"/>
  </r>
  <r>
    <x v="3"/>
    <s v="896"/>
    <s v="CoQ10 100mg Softgels"/>
    <s v="M18"/>
    <s v="5°C±3°C"/>
    <d v="2025-04-24T00:00:00"/>
    <d v="2025-04-29T00:00:00"/>
    <d v="2025-05-13T00:00:00"/>
    <d v="2025-05-06T00:00:00"/>
    <d v="2025-06-05T00:00:00"/>
    <d v="1900-01-06T00:00:00"/>
    <s v="Active"/>
    <s v="In Progress"/>
    <x v="1"/>
    <m/>
    <s v="26-02-003"/>
    <s v="OOS Closed"/>
    <m/>
    <s v="896|M18"/>
    <x v="1"/>
    <x v="0"/>
    <x v="2"/>
    <x v="6"/>
  </r>
  <r>
    <x v="3"/>
    <s v="907"/>
    <s v="CoQ10 100mg Softgels"/>
    <s v="M3"/>
    <s v="40°C/75%RH"/>
    <d v="2025-08-14T00:00:00"/>
    <d v="2025-08-07T00:00:00"/>
    <d v="2025-08-21T00:00:00"/>
    <d v="2025-08-14T00:00:00"/>
    <d v="2025-09-13T00:00:00"/>
    <d v="1900-01-06T00:00:00"/>
    <s v="Active"/>
    <s v="In Progress"/>
    <x v="0"/>
    <m/>
    <s v="26-03-007"/>
    <m/>
    <s v="Yes"/>
    <s v="907|M3"/>
    <x v="0"/>
    <x v="0"/>
    <x v="1"/>
    <x v="27"/>
  </r>
  <r>
    <x v="3"/>
    <s v="907"/>
    <s v="CoQ10 100mg Softgels"/>
    <s v="M6"/>
    <s v="40°C/75%RH"/>
    <d v="2025-05-24T00:00:00"/>
    <d v="2025-05-23T00:00:00"/>
    <d v="2025-06-06T00:00:00"/>
    <d v="2025-05-30T00:00:00"/>
    <d v="2025-06-29T00:00:00"/>
    <d v="1900-01-06T00:00:00"/>
    <s v="Active"/>
    <s v="In Progress"/>
    <x v="1"/>
    <m/>
    <s v="N/A"/>
    <m/>
    <m/>
    <s v="907|M6"/>
    <x v="1"/>
    <x v="0"/>
    <x v="0"/>
    <x v="28"/>
  </r>
  <r>
    <x v="3"/>
    <s v="907"/>
    <s v="CoQ10 100mg Softgels"/>
    <s v="M36"/>
    <s v="40°C/75%RH"/>
    <d v="2025-12-09T00:00:00"/>
    <d v="2025-12-16T00:00:00"/>
    <d v="2025-12-30T00:00:00"/>
    <d v="2025-12-23T00:00:00"/>
    <d v="2026-01-22T00:00:00"/>
    <d v="1900-01-06T00:00:00"/>
    <s v="Active"/>
    <s v="In Progress"/>
    <x v="1"/>
    <m/>
    <s v="N/A"/>
    <m/>
    <m/>
    <s v="907|M36"/>
    <x v="1"/>
    <x v="0"/>
    <x v="0"/>
    <x v="22"/>
  </r>
  <r>
    <x v="3"/>
    <s v="927"/>
    <s v="Iron Supplement Drops"/>
    <s v="M3"/>
    <s v="30°C/65%RH"/>
    <d v="2025-09-09T00:00:00"/>
    <d v="2025-09-08T00:00:00"/>
    <d v="2025-09-22T00:00:00"/>
    <d v="2025-09-15T00:00:00"/>
    <d v="2025-10-15T00:00:00"/>
    <d v="1900-01-06T00:00:00"/>
    <s v="Active"/>
    <s v="In Progress"/>
    <x v="1"/>
    <m/>
    <s v="N/A"/>
    <m/>
    <m/>
    <s v="927|M3"/>
    <x v="1"/>
    <x v="0"/>
    <x v="0"/>
    <x v="14"/>
  </r>
  <r>
    <x v="3"/>
    <s v="927"/>
    <s v="Iron Supplement Drops"/>
    <s v="M18"/>
    <s v="25°C/60%RH"/>
    <d v="2026-03-02T00:00:00"/>
    <d v="2026-03-06T00:00:00"/>
    <d v="2026-03-20T00:00:00"/>
    <d v="2026-03-13T00:00:00"/>
    <d v="2026-04-12T00:00:00"/>
    <d v="1900-01-06T00:00:00"/>
    <s v="Active"/>
    <s v="In Progress"/>
    <x v="2"/>
    <m/>
    <s v="26-01-001"/>
    <m/>
    <m/>
    <s v="927|M18"/>
    <x v="2"/>
    <x v="2"/>
    <x v="1"/>
    <x v="13"/>
  </r>
  <r>
    <x v="3"/>
    <s v="927"/>
    <s v="Iron Supplement Drops"/>
    <s v="M6"/>
    <s v="5°C±3°C"/>
    <d v="2026-04-29T00:00:00"/>
    <d v="2026-05-01T00:00:00"/>
    <d v="2026-05-15T00:00:00"/>
    <d v="2026-05-08T00:00:00"/>
    <d v="2026-06-07T00:00:00"/>
    <d v="1900-01-06T00:00:00"/>
    <s v="Active"/>
    <s v="In Progress"/>
    <x v="1"/>
    <m/>
    <s v="26-02-003"/>
    <m/>
    <m/>
    <s v="927|M6"/>
    <x v="1"/>
    <x v="2"/>
    <x v="1"/>
    <x v="4"/>
  </r>
  <r>
    <x v="3"/>
    <s v="927"/>
    <s v="Iron Supplement Drops"/>
    <s v="M12"/>
    <s v="40°C/75%RH"/>
    <d v="2026-04-28T00:00:00"/>
    <d v="2026-05-05T00:00:00"/>
    <d v="2026-05-19T00:00:00"/>
    <d v="2026-05-12T00:00:00"/>
    <d v="2026-06-11T00:00:00"/>
    <d v="1900-01-06T00:00:00"/>
    <s v="Active"/>
    <s v="In Progress"/>
    <x v="2"/>
    <m/>
    <s v="N/A"/>
    <m/>
    <m/>
    <s v="927|M12"/>
    <x v="2"/>
    <x v="2"/>
    <x v="0"/>
    <x v="4"/>
  </r>
  <r>
    <x v="3"/>
    <s v="927"/>
    <s v="Iron Supplement Drops"/>
    <s v="M24"/>
    <s v="30°C/65%RH"/>
    <d v="2025-09-18T00:00:00"/>
    <d v="2025-09-12T00:00:00"/>
    <d v="2025-09-26T00:00:00"/>
    <d v="2025-09-19T00:00:00"/>
    <d v="2025-10-19T00:00:00"/>
    <d v="1900-01-06T00:00:00"/>
    <s v="Active"/>
    <s v="In Progress"/>
    <x v="2"/>
    <m/>
    <s v="26-01-001"/>
    <m/>
    <m/>
    <s v="927|M24"/>
    <x v="2"/>
    <x v="0"/>
    <x v="1"/>
    <x v="14"/>
  </r>
  <r>
    <x v="4"/>
    <s v="943"/>
    <s v="Magnesium Citrate Powder"/>
    <s v="M36"/>
    <s v="30°C/65%RH"/>
    <d v="2026-03-23T00:00:00"/>
    <d v="2026-03-27T00:00:00"/>
    <d v="2026-04-10T00:00:00"/>
    <d v="2026-04-03T00:00:00"/>
    <d v="2026-05-03T00:00:00"/>
    <d v="1900-01-06T00:00:00"/>
    <s v="Active"/>
    <s v="In Progress"/>
    <x v="1"/>
    <m/>
    <s v="26-04-012"/>
    <m/>
    <m/>
    <s v="943|M36"/>
    <x v="1"/>
    <x v="2"/>
    <x v="1"/>
    <x v="29"/>
  </r>
  <r>
    <x v="4"/>
    <s v="943"/>
    <s v="Magnesium Citrate Powder"/>
    <s v="M9"/>
    <s v="5°C±3°C"/>
    <m/>
    <m/>
    <m/>
    <m/>
    <m/>
    <s v=""/>
    <m/>
    <m/>
    <x v="1"/>
    <m/>
    <s v="26-03-007"/>
    <m/>
    <s v="Yes"/>
    <s v="943|M9"/>
    <x v="1"/>
    <x v="1"/>
    <x v="1"/>
    <x v="1"/>
  </r>
  <r>
    <x v="4"/>
    <s v="943"/>
    <s v="Magnesium Citrate Powder"/>
    <s v="M18"/>
    <s v="5°C±3°C"/>
    <d v="2026-06-08T00:00:00"/>
    <d v="2026-06-02T00:00:00"/>
    <d v="2026-06-16T00:00:00"/>
    <d v="2026-06-09T00:00:00"/>
    <d v="2026-07-09T00:00:00"/>
    <d v="1900-01-06T00:00:00"/>
    <s v="Active"/>
    <s v="In Progress"/>
    <x v="1"/>
    <m/>
    <s v="N/A"/>
    <m/>
    <m/>
    <s v="943|M18"/>
    <x v="1"/>
    <x v="2"/>
    <x v="0"/>
    <x v="16"/>
  </r>
  <r>
    <x v="4"/>
    <s v="963"/>
    <s v="CoQ10 100mg Softgels"/>
    <s v="M36"/>
    <s v="30°C/65%RH"/>
    <d v="2025-12-30T00:00:00"/>
    <d v="2025-12-30T00:00:00"/>
    <d v="2026-01-13T00:00:00"/>
    <d v="2026-01-06T00:00:00"/>
    <d v="2026-02-05T00:00:00"/>
    <d v="1900-01-06T00:00:00"/>
    <s v="Active"/>
    <s v="In Progress"/>
    <x v="2"/>
    <m/>
    <s v="26-04-012"/>
    <m/>
    <m/>
    <s v="963|M36"/>
    <x v="2"/>
    <x v="2"/>
    <x v="1"/>
    <x v="12"/>
  </r>
  <r>
    <x v="4"/>
    <s v="963"/>
    <s v="CoQ10 100mg Softgels"/>
    <s v="M12"/>
    <s v="40°C/75%RH"/>
    <d v="2026-04-26T00:00:00"/>
    <d v="2026-04-27T00:00:00"/>
    <d v="2026-05-11T00:00:00"/>
    <d v="2026-05-04T00:00:00"/>
    <d v="2026-06-03T00:00:00"/>
    <d v="1900-01-06T00:00:00"/>
    <s v="Active"/>
    <s v="In Progress"/>
    <x v="1"/>
    <m/>
    <s v="N/A"/>
    <m/>
    <m/>
    <s v="963|M12"/>
    <x v="1"/>
    <x v="2"/>
    <x v="0"/>
    <x v="6"/>
  </r>
  <r>
    <x v="4"/>
    <s v="963"/>
    <s v="CoQ10 100mg Softgels"/>
    <s v="M18"/>
    <s v="25°C/60%RH"/>
    <d v="2025-07-26T00:00:00"/>
    <d v="2025-07-23T00:00:00"/>
    <d v="2025-08-06T00:00:00"/>
    <d v="2025-07-30T00:00:00"/>
    <d v="2025-08-29T00:00:00"/>
    <d v="1900-01-06T00:00:00"/>
    <s v="Active"/>
    <s v="In Progress"/>
    <x v="1"/>
    <m/>
    <s v="26-02-003"/>
    <s v="OOS Closed"/>
    <m/>
    <s v="963|M18"/>
    <x v="1"/>
    <x v="0"/>
    <x v="2"/>
    <x v="30"/>
  </r>
  <r>
    <x v="4"/>
    <s v="963"/>
    <s v="CoQ10 100mg Softgels"/>
    <s v="M24"/>
    <s v="5°C±3°C"/>
    <d v="2026-03-20T00:00:00"/>
    <d v="2026-03-15T00:00:00"/>
    <d v="2026-03-29T00:00:00"/>
    <d v="2026-03-22T00:00:00"/>
    <d v="2026-04-21T00:00:00"/>
    <d v="1900-01-06T00:00:00"/>
    <s v="Active"/>
    <s v="In Progress"/>
    <x v="2"/>
    <m/>
    <s v="N/A"/>
    <m/>
    <m/>
    <s v="963|M24"/>
    <x v="2"/>
    <x v="2"/>
    <x v="0"/>
    <x v="31"/>
  </r>
  <r>
    <x v="4"/>
    <s v="963"/>
    <s v="CoQ10 100mg Softgels"/>
    <s v="M9"/>
    <s v="25°C/60%RH"/>
    <d v="2025-10-30T00:00:00"/>
    <d v="2025-10-23T00:00:00"/>
    <d v="2025-11-06T00:00:00"/>
    <d v="2025-10-30T00:00:00"/>
    <d v="2025-11-29T00:00:00"/>
    <d v="1900-01-06T00:00:00"/>
    <s v="Active"/>
    <s v="In Progress"/>
    <x v="2"/>
    <s v="QIDR-883"/>
    <s v="26-03-007"/>
    <m/>
    <m/>
    <s v="963|M9"/>
    <x v="2"/>
    <x v="0"/>
    <x v="1"/>
    <x v="32"/>
  </r>
  <r>
    <x v="5"/>
    <s v="979"/>
    <s v="Melatonin 3mg Tablets"/>
    <s v="M18"/>
    <s v="5°C±3°C"/>
    <d v="2026-05-27T00:00:00"/>
    <d v="2026-05-26T00:00:00"/>
    <d v="2026-06-09T00:00:00"/>
    <d v="2026-06-02T00:00:00"/>
    <d v="2026-07-02T00:00:00"/>
    <d v="1900-01-06T00:00:00"/>
    <s v="Active"/>
    <s v="In Progress"/>
    <x v="1"/>
    <m/>
    <s v="N/A"/>
    <m/>
    <m/>
    <s v="979|M18"/>
    <x v="1"/>
    <x v="2"/>
    <x v="0"/>
    <x v="23"/>
  </r>
  <r>
    <x v="5"/>
    <s v="979"/>
    <s v="Melatonin 3mg Tablets"/>
    <s v="M6"/>
    <s v="5°C±3°C"/>
    <d v="2025-04-09T00:00:00"/>
    <d v="2025-04-08T00:00:00"/>
    <d v="2025-04-22T00:00:00"/>
    <d v="2025-04-15T00:00:00"/>
    <d v="2025-05-15T00:00:00"/>
    <d v="1900-01-06T00:00:00"/>
    <s v="Active"/>
    <s v="In Progress"/>
    <x v="1"/>
    <s v="QIDR-737"/>
    <s v="26-03-007"/>
    <s v="OOS Closed"/>
    <m/>
    <s v="979|M6"/>
    <x v="1"/>
    <x v="0"/>
    <x v="2"/>
    <x v="0"/>
  </r>
  <r>
    <x v="5"/>
    <s v="979"/>
    <s v="Melatonin 3mg Tablets"/>
    <s v="M9"/>
    <s v="25°C/60%RH"/>
    <d v="2025-10-10T00:00:00"/>
    <d v="2025-10-12T00:00:00"/>
    <d v="2025-10-26T00:00:00"/>
    <d v="2025-10-19T00:00:00"/>
    <d v="2025-11-18T00:00:00"/>
    <d v="1900-01-06T00:00:00"/>
    <s v="Active"/>
    <s v="In Progress"/>
    <x v="1"/>
    <m/>
    <s v="N/A"/>
    <m/>
    <m/>
    <s v="979|M9"/>
    <x v="1"/>
    <x v="0"/>
    <x v="0"/>
    <x v="18"/>
  </r>
  <r>
    <x v="5"/>
    <s v="994"/>
    <s v="Probiotic Complex"/>
    <s v="M1"/>
    <s v="5°C±3°C"/>
    <d v="2025-09-10T00:00:00"/>
    <d v="2025-09-08T00:00:00"/>
    <d v="2025-09-22T00:00:00"/>
    <d v="2025-09-15T00:00:00"/>
    <d v="2025-10-15T00:00:00"/>
    <d v="1900-01-06T00:00:00"/>
    <s v="Active"/>
    <s v="In Progress"/>
    <x v="1"/>
    <m/>
    <s v="26-01-001"/>
    <s v="OOS Closed"/>
    <m/>
    <s v="994|M1"/>
    <x v="1"/>
    <x v="0"/>
    <x v="2"/>
    <x v="14"/>
  </r>
  <r>
    <x v="5"/>
    <s v="994"/>
    <s v="Probiotic Complex"/>
    <s v="M6"/>
    <s v="40°C/75%RH"/>
    <m/>
    <m/>
    <m/>
    <m/>
    <m/>
    <s v=""/>
    <m/>
    <m/>
    <x v="1"/>
    <m/>
    <s v="N/A"/>
    <m/>
    <s v="Yes"/>
    <s v="994|M6"/>
    <x v="1"/>
    <x v="1"/>
    <x v="0"/>
    <x v="1"/>
  </r>
  <r>
    <x v="5"/>
    <s v="994"/>
    <s v="Probiotic Complex"/>
    <s v="M9"/>
    <s v="30°C/65%RH"/>
    <m/>
    <m/>
    <m/>
    <m/>
    <m/>
    <s v=""/>
    <m/>
    <m/>
    <x v="1"/>
    <m/>
    <s v="N/A"/>
    <m/>
    <s v="Yes"/>
    <s v="994|M9"/>
    <x v="1"/>
    <x v="1"/>
    <x v="0"/>
    <x v="1"/>
  </r>
  <r>
    <x v="5"/>
    <s v="994"/>
    <s v="Probiotic Complex"/>
    <s v="M24"/>
    <s v="30°C/65%RH"/>
    <m/>
    <m/>
    <m/>
    <m/>
    <m/>
    <s v=""/>
    <m/>
    <m/>
    <x v="1"/>
    <m/>
    <s v="N/A"/>
    <m/>
    <m/>
    <s v="994|M24"/>
    <x v="1"/>
    <x v="1"/>
    <x v="0"/>
    <x v="1"/>
  </r>
  <r>
    <x v="5"/>
    <s v="1013"/>
    <s v="Omega-3 Fish Oil Capsules"/>
    <s v="M36"/>
    <s v="40°C/75%RH"/>
    <d v="2026-01-25T00:00:00"/>
    <d v="2026-01-29T00:00:00"/>
    <d v="2026-02-12T00:00:00"/>
    <d v="2026-02-05T00:00:00"/>
    <d v="2026-03-07T00:00:00"/>
    <d v="1900-01-06T00:00:00"/>
    <s v="Active"/>
    <s v="In Progress"/>
    <x v="0"/>
    <m/>
    <s v="N/A"/>
    <m/>
    <s v="Yes"/>
    <s v="1013|M36"/>
    <x v="0"/>
    <x v="2"/>
    <x v="0"/>
    <x v="33"/>
  </r>
  <r>
    <x v="5"/>
    <s v="1013"/>
    <s v="Omega-3 Fish Oil Capsules"/>
    <s v="M18"/>
    <s v="30°C/65%RH"/>
    <m/>
    <m/>
    <m/>
    <m/>
    <m/>
    <s v=""/>
    <m/>
    <m/>
    <x v="1"/>
    <m/>
    <s v="26-03-007"/>
    <m/>
    <m/>
    <s v="1013|M18"/>
    <x v="1"/>
    <x v="1"/>
    <x v="1"/>
    <x v="1"/>
  </r>
  <r>
    <x v="5"/>
    <s v="1013"/>
    <s v="Omega-3 Fish Oil Capsules"/>
    <s v="M6"/>
    <s v="25°C/60%RH"/>
    <d v="2026-02-13T00:00:00"/>
    <d v="2026-02-09T00:00:00"/>
    <d v="2026-02-23T00:00:00"/>
    <d v="2026-02-16T00:00:00"/>
    <d v="2026-03-18T00:00:00"/>
    <d v="1900-01-06T00:00:00"/>
    <s v="Active"/>
    <s v="In Progress"/>
    <x v="0"/>
    <m/>
    <s v="26-01-001"/>
    <s v="OOS Closed"/>
    <s v="Yes"/>
    <s v="1013|M6"/>
    <x v="0"/>
    <x v="2"/>
    <x v="2"/>
    <x v="24"/>
  </r>
  <r>
    <x v="5"/>
    <s v="1013"/>
    <s v="Omega-3 Fish Oil Capsules"/>
    <s v="M24"/>
    <s v="25°C/60%RH"/>
    <d v="2025-04-17T00:00:00"/>
    <d v="2025-04-15T00:00:00"/>
    <d v="2025-04-29T00:00:00"/>
    <d v="2025-04-22T00:00:00"/>
    <d v="2025-05-22T00:00:00"/>
    <d v="1900-01-06T00:00:00"/>
    <s v="Active"/>
    <s v="In Progress"/>
    <x v="1"/>
    <m/>
    <s v="26-03-007"/>
    <s v="OOS Closed"/>
    <m/>
    <s v="1013|M24"/>
    <x v="1"/>
    <x v="0"/>
    <x v="2"/>
    <x v="34"/>
  </r>
  <r>
    <x v="5"/>
    <s v="1014"/>
    <s v="Iron Supplement Drops"/>
    <s v="M36"/>
    <s v="5°C±3°C"/>
    <d v="2025-06-19T00:00:00"/>
    <d v="2025-06-23T00:00:00"/>
    <d v="2025-07-07T00:00:00"/>
    <d v="2025-06-30T00:00:00"/>
    <d v="2025-07-30T00:00:00"/>
    <d v="1900-01-06T00:00:00"/>
    <s v="Active"/>
    <s v="In Progress"/>
    <x v="1"/>
    <m/>
    <s v="26-01-001"/>
    <s v="OOS Closed"/>
    <m/>
    <s v="1014|M36"/>
    <x v="1"/>
    <x v="0"/>
    <x v="2"/>
    <x v="35"/>
  </r>
  <r>
    <x v="5"/>
    <s v="1014"/>
    <s v="Iron Supplement Drops"/>
    <s v="M1"/>
    <s v="25°C/60%RH"/>
    <d v="2026-01-25T00:00:00"/>
    <d v="2026-01-22T00:00:00"/>
    <d v="2026-02-05T00:00:00"/>
    <d v="2026-01-29T00:00:00"/>
    <d v="2026-02-28T00:00:00"/>
    <d v="1900-01-06T00:00:00"/>
    <s v="Active"/>
    <s v="In Progress"/>
    <x v="1"/>
    <m/>
    <s v="N/A"/>
    <m/>
    <m/>
    <s v="1014|M1"/>
    <x v="1"/>
    <x v="2"/>
    <x v="0"/>
    <x v="36"/>
  </r>
  <r>
    <x v="5"/>
    <s v="1014"/>
    <s v="Iron Supplement Drops"/>
    <s v="M9"/>
    <s v="5°C±3°C"/>
    <d v="2026-04-13T00:00:00"/>
    <d v="2026-04-13T00:00:00"/>
    <d v="2026-04-27T00:00:00"/>
    <d v="2026-04-20T00:00:00"/>
    <d v="2026-05-20T00:00:00"/>
    <d v="1900-01-06T00:00:00"/>
    <s v="Active"/>
    <s v="In Progress"/>
    <x v="1"/>
    <s v="QIDR-286"/>
    <s v="26-03-007"/>
    <m/>
    <m/>
    <s v="1014|M9"/>
    <x v="1"/>
    <x v="2"/>
    <x v="1"/>
    <x v="0"/>
  </r>
  <r>
    <x v="5"/>
    <s v="1014"/>
    <s v="Iron Supplement Drops"/>
    <s v="M6"/>
    <s v="40°C/75%RH"/>
    <d v="2025-09-17T00:00:00"/>
    <d v="2025-09-22T00:00:00"/>
    <d v="2025-10-06T00:00:00"/>
    <d v="2025-09-29T00:00:00"/>
    <d v="2025-10-29T00:00:00"/>
    <d v="1900-01-06T00:00:00"/>
    <s v="Active"/>
    <s v="In Progress"/>
    <x v="1"/>
    <m/>
    <s v="26-02-003"/>
    <m/>
    <m/>
    <s v="1014|M6"/>
    <x v="1"/>
    <x v="0"/>
    <x v="1"/>
    <x v="37"/>
  </r>
  <r>
    <x v="5"/>
    <s v="1014"/>
    <s v="Iron Supplement Drops"/>
    <s v="M18"/>
    <s v="30°C/65%RH"/>
    <d v="2025-07-06T00:00:00"/>
    <d v="2025-06-30T00:00:00"/>
    <d v="2025-07-14T00:00:00"/>
    <d v="2025-07-07T00:00:00"/>
    <d v="2025-08-06T00:00:00"/>
    <d v="1900-01-06T00:00:00"/>
    <s v="Active"/>
    <s v="In Progress"/>
    <x v="2"/>
    <m/>
    <s v="26-03-007"/>
    <m/>
    <m/>
    <s v="1014|M18"/>
    <x v="2"/>
    <x v="0"/>
    <x v="1"/>
    <x v="38"/>
  </r>
  <r>
    <x v="5"/>
    <s v="1014"/>
    <s v="Iron Supplement Drops"/>
    <s v="M12"/>
    <s v="40°C/75%RH"/>
    <d v="2025-12-01T00:00:00"/>
    <d v="2025-12-01T00:00:00"/>
    <d v="2025-12-15T00:00:00"/>
    <d v="2025-12-08T00:00:00"/>
    <d v="2026-01-07T00:00:00"/>
    <d v="1900-01-06T00:00:00"/>
    <s v="Active"/>
    <s v="In Progress"/>
    <x v="0"/>
    <m/>
    <s v="N/A"/>
    <m/>
    <s v="Yes"/>
    <s v="1014|M12"/>
    <x v="0"/>
    <x v="0"/>
    <x v="0"/>
    <x v="20"/>
  </r>
  <r>
    <x v="6"/>
    <s v="1024"/>
    <s v="Magnesium Citrate Powder"/>
    <s v="M36"/>
    <s v="40°C/75%RH"/>
    <d v="2026-01-02T00:00:00"/>
    <d v="2025-12-31T00:00:00"/>
    <d v="2026-01-14T00:00:00"/>
    <d v="2026-01-07T00:00:00"/>
    <d v="2026-02-06T00:00:00"/>
    <d v="1900-01-06T00:00:00"/>
    <s v="Active"/>
    <s v="In Progress"/>
    <x v="1"/>
    <m/>
    <s v="26-04-012"/>
    <m/>
    <m/>
    <s v="1024|M36"/>
    <x v="1"/>
    <x v="2"/>
    <x v="1"/>
    <x v="12"/>
  </r>
  <r>
    <x v="6"/>
    <s v="1024"/>
    <s v="Magnesium Citrate Powder"/>
    <s v="M12"/>
    <s v="30°C/65%RH"/>
    <d v="2025-09-08T00:00:00"/>
    <d v="2025-09-02T00:00:00"/>
    <d v="2025-09-16T00:00:00"/>
    <d v="2025-09-09T00:00:00"/>
    <d v="2025-10-09T00:00:00"/>
    <d v="1900-01-06T00:00:00"/>
    <s v="Active"/>
    <s v="In Progress"/>
    <x v="1"/>
    <m/>
    <s v="N/A"/>
    <m/>
    <m/>
    <s v="1024|M12"/>
    <x v="1"/>
    <x v="0"/>
    <x v="0"/>
    <x v="39"/>
  </r>
  <r>
    <x v="6"/>
    <s v="1024"/>
    <s v="Magnesium Citrate Powder"/>
    <s v="M24"/>
    <s v="30°C/65%RH"/>
    <d v="2026-03-28T00:00:00"/>
    <d v="2026-03-30T00:00:00"/>
    <d v="2026-04-13T00:00:00"/>
    <d v="2026-04-06T00:00:00"/>
    <d v="2026-05-06T00:00:00"/>
    <d v="1900-01-06T00:00:00"/>
    <s v="Active"/>
    <s v="In Progress"/>
    <x v="1"/>
    <m/>
    <s v="26-01-001"/>
    <s v="OOS Closed"/>
    <m/>
    <s v="1024|M24"/>
    <x v="1"/>
    <x v="2"/>
    <x v="2"/>
    <x v="29"/>
  </r>
  <r>
    <x v="6"/>
    <s v="1024"/>
    <s v="Magnesium Citrate Powder"/>
    <s v="M6"/>
    <s v="40°C/75%RH"/>
    <d v="2025-09-02T00:00:00"/>
    <d v="2025-08-26T00:00:00"/>
    <d v="2025-09-09T00:00:00"/>
    <d v="2025-09-02T00:00:00"/>
    <d v="2025-10-02T00:00:00"/>
    <d v="1900-01-06T00:00:00"/>
    <s v="Active"/>
    <s v="In Progress"/>
    <x v="1"/>
    <m/>
    <s v="N/A"/>
    <m/>
    <m/>
    <s v="1024|M6"/>
    <x v="1"/>
    <x v="0"/>
    <x v="0"/>
    <x v="40"/>
  </r>
  <r>
    <x v="6"/>
    <s v="1024"/>
    <s v="Magnesium Citrate Powder"/>
    <s v="M9"/>
    <s v="5°C±3°C"/>
    <m/>
    <m/>
    <m/>
    <m/>
    <m/>
    <s v=""/>
    <m/>
    <m/>
    <x v="1"/>
    <m/>
    <s v="N/A"/>
    <m/>
    <m/>
    <s v="1024|M9"/>
    <x v="1"/>
    <x v="1"/>
    <x v="0"/>
    <x v="1"/>
  </r>
  <r>
    <x v="6"/>
    <s v="1043"/>
    <s v="Vitamin C 500mg Tablets"/>
    <s v="M36"/>
    <s v="25°C/60%RH"/>
    <d v="2025-07-26T00:00:00"/>
    <d v="2025-08-01T00:00:00"/>
    <d v="2025-08-15T00:00:00"/>
    <d v="2025-08-08T00:00:00"/>
    <d v="2025-09-07T00:00:00"/>
    <d v="1900-01-06T00:00:00"/>
    <s v="Active"/>
    <s v="In Progress"/>
    <x v="1"/>
    <m/>
    <s v="N/A"/>
    <m/>
    <m/>
    <s v="1043|M36"/>
    <x v="1"/>
    <x v="0"/>
    <x v="0"/>
    <x v="27"/>
  </r>
  <r>
    <x v="6"/>
    <s v="1043"/>
    <s v="Vitamin C 500mg Tablets"/>
    <s v="M9"/>
    <s v="30°C/65%RH"/>
    <m/>
    <m/>
    <m/>
    <m/>
    <m/>
    <s v=""/>
    <m/>
    <m/>
    <x v="1"/>
    <m/>
    <s v="N/A"/>
    <m/>
    <s v="Yes"/>
    <s v="1043|M9"/>
    <x v="1"/>
    <x v="1"/>
    <x v="0"/>
    <x v="1"/>
  </r>
  <r>
    <x v="6"/>
    <s v="1043"/>
    <s v="Vitamin C 500mg Tablets"/>
    <s v="M24"/>
    <s v="30°C/65%RH"/>
    <d v="2025-05-11T00:00:00"/>
    <d v="2025-05-07T00:00:00"/>
    <d v="2025-05-21T00:00:00"/>
    <d v="2025-05-14T00:00:00"/>
    <d v="2025-06-13T00:00:00"/>
    <d v="1900-01-06T00:00:00"/>
    <s v="Active"/>
    <s v="In Progress"/>
    <x v="0"/>
    <m/>
    <s v="26-03-007"/>
    <s v="OOS Closed"/>
    <s v="Yes"/>
    <s v="1043|M24"/>
    <x v="0"/>
    <x v="0"/>
    <x v="2"/>
    <x v="4"/>
  </r>
  <r>
    <x v="6"/>
    <s v="1043"/>
    <s v="Vitamin C 500mg Tablets"/>
    <s v="M6"/>
    <s v="25°C/60%RH"/>
    <d v="2025-11-09T00:00:00"/>
    <d v="2025-11-06T00:00:00"/>
    <d v="2025-11-20T00:00:00"/>
    <d v="2025-11-13T00:00:00"/>
    <d v="2025-12-13T00:00:00"/>
    <d v="1900-01-06T00:00:00"/>
    <s v="Active"/>
    <s v="In Progress"/>
    <x v="1"/>
    <m/>
    <s v="26-03-007"/>
    <m/>
    <m/>
    <s v="1043|M6"/>
    <x v="1"/>
    <x v="0"/>
    <x v="1"/>
    <x v="41"/>
  </r>
  <r>
    <x v="6"/>
    <s v="1043"/>
    <s v="Vitamin C 500mg Tablets"/>
    <s v="M3"/>
    <s v="30°C/65%RH"/>
    <d v="2026-04-23T00:00:00"/>
    <d v="2026-04-19T00:00:00"/>
    <d v="2026-05-03T00:00:00"/>
    <d v="2026-04-26T00:00:00"/>
    <d v="2026-05-26T00:00:00"/>
    <d v="1900-01-06T00:00:00"/>
    <s v="Active"/>
    <s v="In Progress"/>
    <x v="2"/>
    <m/>
    <s v="26-01-001"/>
    <s v="OOS Closed"/>
    <m/>
    <s v="1043|M3"/>
    <x v="2"/>
    <x v="2"/>
    <x v="2"/>
    <x v="34"/>
  </r>
  <r>
    <x v="6"/>
    <s v="1046"/>
    <s v="CoQ10 100mg Softgels"/>
    <s v="M1"/>
    <s v="5°C±3°C"/>
    <d v="2025-04-14T00:00:00"/>
    <d v="2025-04-10T00:00:00"/>
    <d v="2025-04-24T00:00:00"/>
    <d v="2025-04-17T00:00:00"/>
    <d v="2025-05-17T00:00:00"/>
    <d v="1900-01-06T00:00:00"/>
    <s v="Active"/>
    <s v="In Progress"/>
    <x v="1"/>
    <m/>
    <s v="26-01-001"/>
    <s v="OOS Closed"/>
    <m/>
    <s v="1046|M1"/>
    <x v="1"/>
    <x v="0"/>
    <x v="2"/>
    <x v="0"/>
  </r>
  <r>
    <x v="6"/>
    <s v="1046"/>
    <s v="CoQ10 100mg Softgels"/>
    <s v="M9"/>
    <s v="5°C±3°C"/>
    <d v="2025-08-02T00:00:00"/>
    <d v="2025-08-07T00:00:00"/>
    <d v="2025-08-21T00:00:00"/>
    <d v="2025-08-14T00:00:00"/>
    <d v="2025-09-13T00:00:00"/>
    <d v="1900-01-06T00:00:00"/>
    <s v="Active"/>
    <s v="In Progress"/>
    <x v="1"/>
    <m/>
    <s v="N/A"/>
    <m/>
    <m/>
    <s v="1046|M9"/>
    <x v="1"/>
    <x v="0"/>
    <x v="0"/>
    <x v="27"/>
  </r>
  <r>
    <x v="6"/>
    <s v="1046"/>
    <s v="CoQ10 100mg Softgels"/>
    <s v="M24"/>
    <s v="25°C/60%RH"/>
    <d v="2025-06-02T00:00:00"/>
    <d v="2025-06-09T00:00:00"/>
    <d v="2025-06-23T00:00:00"/>
    <d v="2025-06-16T00:00:00"/>
    <d v="2025-07-16T00:00:00"/>
    <d v="1900-01-06T00:00:00"/>
    <s v="Active"/>
    <s v="In Progress"/>
    <x v="1"/>
    <m/>
    <s v="N/A"/>
    <m/>
    <m/>
    <s v="1046|M24"/>
    <x v="1"/>
    <x v="0"/>
    <x v="0"/>
    <x v="25"/>
  </r>
  <r>
    <x v="6"/>
    <s v="1046"/>
    <s v="CoQ10 100mg Softgels"/>
    <s v="M12"/>
    <s v="5°C±3°C"/>
    <d v="2026-01-19T00:00:00"/>
    <d v="2026-01-23T00:00:00"/>
    <d v="2026-02-06T00:00:00"/>
    <d v="2026-01-30T00:00:00"/>
    <d v="2026-03-01T00:00:00"/>
    <d v="1900-01-06T00:00:00"/>
    <s v="Active"/>
    <s v="In Progress"/>
    <x v="1"/>
    <m/>
    <s v="26-01-001"/>
    <m/>
    <m/>
    <s v="1046|M12"/>
    <x v="1"/>
    <x v="2"/>
    <x v="1"/>
    <x v="36"/>
  </r>
  <r>
    <x v="6"/>
    <s v="1055"/>
    <s v="Melatonin 3mg Tablets"/>
    <s v="M36"/>
    <s v="25°C/60%RH"/>
    <d v="2025-08-07T00:00:00"/>
    <d v="2025-07-31T00:00:00"/>
    <d v="2025-08-14T00:00:00"/>
    <d v="2025-08-07T00:00:00"/>
    <d v="2025-09-06T00:00:00"/>
    <d v="1900-01-06T00:00:00"/>
    <s v="Active"/>
    <s v="In Progress"/>
    <x v="0"/>
    <s v="QIDR-788"/>
    <s v="N/A"/>
    <m/>
    <s v="Yes"/>
    <s v="1055|M36"/>
    <x v="0"/>
    <x v="0"/>
    <x v="0"/>
    <x v="42"/>
  </r>
  <r>
    <x v="6"/>
    <s v="1055"/>
    <s v="Melatonin 3mg Tablets"/>
    <s v="M1"/>
    <s v="5°C±3°C"/>
    <d v="2026-01-21T00:00:00"/>
    <d v="2026-01-14T00:00:00"/>
    <d v="2026-01-28T00:00:00"/>
    <d v="2026-01-21T00:00:00"/>
    <d v="2026-02-20T00:00:00"/>
    <d v="1900-01-06T00:00:00"/>
    <s v="Active"/>
    <s v="In Progress"/>
    <x v="2"/>
    <s v="QIDR-285"/>
    <s v="26-04-012"/>
    <s v="OOS Closed"/>
    <m/>
    <s v="1055|M1"/>
    <x v="2"/>
    <x v="2"/>
    <x v="2"/>
    <x v="21"/>
  </r>
  <r>
    <x v="6"/>
    <s v="1055"/>
    <s v="Melatonin 3mg Tablets"/>
    <s v="M12"/>
    <s v="5°C±3°C"/>
    <d v="2025-10-31T00:00:00"/>
    <d v="2025-11-03T00:00:00"/>
    <d v="2025-11-17T00:00:00"/>
    <d v="2025-11-10T00:00:00"/>
    <d v="2025-12-10T00:00:00"/>
    <d v="1900-01-06T00:00:00"/>
    <s v="Active"/>
    <s v="In Progress"/>
    <x v="1"/>
    <m/>
    <s v="N/A"/>
    <m/>
    <m/>
    <s v="1055|M12"/>
    <x v="1"/>
    <x v="0"/>
    <x v="0"/>
    <x v="41"/>
  </r>
  <r>
    <x v="6"/>
    <s v="1055"/>
    <s v="Melatonin 3mg Tablets"/>
    <s v="M24"/>
    <s v="5°C±3°C"/>
    <d v="2026-03-09T00:00:00"/>
    <d v="2026-03-03T00:00:00"/>
    <d v="2026-03-17T00:00:00"/>
    <d v="2026-03-10T00:00:00"/>
    <d v="2026-04-09T00:00:00"/>
    <d v="1900-01-06T00:00:00"/>
    <s v="Active"/>
    <s v="In Progress"/>
    <x v="2"/>
    <m/>
    <s v="26-02-003"/>
    <m/>
    <m/>
    <s v="1055|M24"/>
    <x v="2"/>
    <x v="2"/>
    <x v="1"/>
    <x v="13"/>
  </r>
  <r>
    <x v="6"/>
    <s v="1055"/>
    <s v="Melatonin 3mg Tablets"/>
    <s v="M9"/>
    <s v="5°C±3°C"/>
    <d v="2026-05-10T00:00:00"/>
    <d v="2026-05-15T00:00:00"/>
    <d v="2026-05-29T00:00:00"/>
    <d v="2026-05-22T00:00:00"/>
    <d v="2026-06-21T00:00:00"/>
    <d v="1900-01-06T00:00:00"/>
    <s v="Active"/>
    <s v="In Progress"/>
    <x v="1"/>
    <m/>
    <s v="N/A"/>
    <m/>
    <m/>
    <s v="1055|M9"/>
    <x v="1"/>
    <x v="2"/>
    <x v="0"/>
    <x v="2"/>
  </r>
  <r>
    <x v="6"/>
    <s v="1055"/>
    <s v="Melatonin 3mg Tablets"/>
    <s v="M6"/>
    <s v="5°C±3°C"/>
    <d v="2025-05-18T00:00:00"/>
    <d v="2025-05-23T00:00:00"/>
    <d v="2025-06-06T00:00:00"/>
    <d v="2025-05-30T00:00:00"/>
    <d v="2025-06-29T00:00:00"/>
    <d v="1900-01-06T00:00:00"/>
    <s v="Active"/>
    <s v="In Progress"/>
    <x v="1"/>
    <m/>
    <s v="N/A"/>
    <m/>
    <m/>
    <s v="1055|M6"/>
    <x v="1"/>
    <x v="0"/>
    <x v="0"/>
    <x v="28"/>
  </r>
  <r>
    <x v="7"/>
    <s v="1067"/>
    <s v="CoQ10 100mg Softgels"/>
    <s v="M36"/>
    <s v="5°C±3°C"/>
    <m/>
    <m/>
    <m/>
    <m/>
    <m/>
    <s v=""/>
    <m/>
    <m/>
    <x v="1"/>
    <m/>
    <s v="26-04-012"/>
    <s v="OOS Closed"/>
    <m/>
    <s v="1067|M36"/>
    <x v="1"/>
    <x v="1"/>
    <x v="2"/>
    <x v="1"/>
  </r>
  <r>
    <x v="7"/>
    <s v="1067"/>
    <s v="CoQ10 100mg Softgels"/>
    <s v="M24"/>
    <s v="40°C/75%RH"/>
    <d v="2026-01-25T00:00:00"/>
    <d v="2026-01-30T00:00:00"/>
    <d v="2026-02-13T00:00:00"/>
    <d v="2026-02-06T00:00:00"/>
    <d v="2026-03-08T00:00:00"/>
    <d v="1900-01-06T00:00:00"/>
    <s v="Active"/>
    <s v="In Progress"/>
    <x v="2"/>
    <m/>
    <s v="N/A"/>
    <m/>
    <m/>
    <s v="1067|M24"/>
    <x v="2"/>
    <x v="2"/>
    <x v="0"/>
    <x v="33"/>
  </r>
  <r>
    <x v="7"/>
    <s v="1067"/>
    <s v="CoQ10 100mg Softgels"/>
    <s v="M1"/>
    <s v="30°C/65%RH"/>
    <d v="2025-05-15T00:00:00"/>
    <d v="2025-05-11T00:00:00"/>
    <d v="2025-05-25T00:00:00"/>
    <d v="2025-05-18T00:00:00"/>
    <d v="2025-06-17T00:00:00"/>
    <d v="1900-01-06T00:00:00"/>
    <s v="Active"/>
    <s v="In Progress"/>
    <x v="0"/>
    <m/>
    <s v="26-04-012"/>
    <s v="OOS Closed"/>
    <s v="Yes"/>
    <s v="1067|M1"/>
    <x v="0"/>
    <x v="0"/>
    <x v="2"/>
    <x v="3"/>
  </r>
  <r>
    <x v="7"/>
    <s v="1067"/>
    <s v="CoQ10 100mg Softgels"/>
    <s v="M3"/>
    <s v="5°C±3°C"/>
    <d v="2025-12-06T00:00:00"/>
    <d v="2025-12-10T00:00:00"/>
    <d v="2025-12-24T00:00:00"/>
    <d v="2025-12-17T00:00:00"/>
    <d v="2026-01-16T00:00:00"/>
    <d v="1900-01-06T00:00:00"/>
    <s v="Active"/>
    <s v="In Progress"/>
    <x v="1"/>
    <m/>
    <s v="26-03-007"/>
    <s v="OOS Closed"/>
    <m/>
    <s v="1067|M3"/>
    <x v="1"/>
    <x v="0"/>
    <x v="2"/>
    <x v="43"/>
  </r>
  <r>
    <x v="7"/>
    <s v="1067"/>
    <s v="CoQ10 100mg Softgels"/>
    <s v="M6"/>
    <s v="25°C/60%RH"/>
    <d v="2025-10-11T00:00:00"/>
    <d v="2025-10-07T00:00:00"/>
    <d v="2025-10-21T00:00:00"/>
    <d v="2025-10-14T00:00:00"/>
    <d v="2025-11-13T00:00:00"/>
    <d v="1900-01-06T00:00:00"/>
    <s v="Active"/>
    <s v="In Progress"/>
    <x v="1"/>
    <m/>
    <s v="N/A"/>
    <m/>
    <m/>
    <s v="1067|M6"/>
    <x v="1"/>
    <x v="0"/>
    <x v="0"/>
    <x v="44"/>
  </r>
  <r>
    <x v="7"/>
    <s v="1067"/>
    <s v="CoQ10 100mg Softgels"/>
    <s v="M9"/>
    <s v="40°C/75%RH"/>
    <d v="2025-10-25T00:00:00"/>
    <d v="2025-10-23T00:00:00"/>
    <d v="2025-11-06T00:00:00"/>
    <d v="2025-10-30T00:00:00"/>
    <d v="2025-11-29T00:00:00"/>
    <d v="1900-01-06T00:00:00"/>
    <s v="Active"/>
    <s v="In Progress"/>
    <x v="1"/>
    <m/>
    <s v="26-01-001"/>
    <s v="OOS Closed"/>
    <m/>
    <s v="1067|M9"/>
    <x v="1"/>
    <x v="0"/>
    <x v="2"/>
    <x v="32"/>
  </r>
  <r>
    <x v="7"/>
    <s v="1086"/>
    <s v="Turmeric Extract Capsules"/>
    <s v="M6"/>
    <s v="30°C/65%RH"/>
    <d v="2025-12-29T00:00:00"/>
    <d v="2025-12-28T00:00:00"/>
    <d v="2026-01-11T00:00:00"/>
    <d v="2026-01-04T00:00:00"/>
    <d v="2026-02-03T00:00:00"/>
    <d v="1900-01-06T00:00:00"/>
    <s v="Active"/>
    <s v="In Progress"/>
    <x v="1"/>
    <m/>
    <s v="26-02-003"/>
    <s v="OOS Closed"/>
    <m/>
    <s v="1086|M6"/>
    <x v="1"/>
    <x v="2"/>
    <x v="2"/>
    <x v="12"/>
  </r>
  <r>
    <x v="7"/>
    <s v="1086"/>
    <s v="Turmeric Extract Capsules"/>
    <s v="M9"/>
    <s v="5°C±3°C"/>
    <d v="2026-04-27T00:00:00"/>
    <d v="2026-04-26T00:00:00"/>
    <d v="2026-05-10T00:00:00"/>
    <d v="2026-05-03T00:00:00"/>
    <d v="2026-06-02T00:00:00"/>
    <d v="1900-01-06T00:00:00"/>
    <s v="Active"/>
    <s v="In Progress"/>
    <x v="0"/>
    <m/>
    <s v="26-02-003"/>
    <s v="OOS Closed"/>
    <s v="Yes"/>
    <s v="1086|M9"/>
    <x v="0"/>
    <x v="2"/>
    <x v="2"/>
    <x v="6"/>
  </r>
  <r>
    <x v="7"/>
    <s v="1086"/>
    <s v="Turmeric Extract Capsules"/>
    <s v="M12"/>
    <s v="30°C/65%RH"/>
    <d v="2026-05-16T00:00:00"/>
    <d v="2026-05-19T00:00:00"/>
    <d v="2026-06-02T00:00:00"/>
    <d v="2026-05-26T00:00:00"/>
    <d v="2026-06-25T00:00:00"/>
    <d v="1900-01-06T00:00:00"/>
    <s v="Active"/>
    <s v="In Progress"/>
    <x v="2"/>
    <m/>
    <s v="26-04-012"/>
    <s v="OOS Closed"/>
    <m/>
    <s v="1086|M12"/>
    <x v="2"/>
    <x v="2"/>
    <x v="2"/>
    <x v="2"/>
  </r>
  <r>
    <x v="7"/>
    <s v="1086"/>
    <s v="Turmeric Extract Capsules"/>
    <s v="M24"/>
    <s v="5°C±3°C"/>
    <d v="2026-06-19T00:00:00"/>
    <d v="2026-06-13T00:00:00"/>
    <d v="2026-06-27T00:00:00"/>
    <d v="2026-06-20T00:00:00"/>
    <d v="2026-07-20T00:00:00"/>
    <d v="1900-01-06T00:00:00"/>
    <s v="Active"/>
    <s v="In Progress"/>
    <x v="1"/>
    <m/>
    <s v="N/A"/>
    <m/>
    <m/>
    <s v="1086|M24"/>
    <x v="1"/>
    <x v="2"/>
    <x v="0"/>
    <x v="25"/>
  </r>
  <r>
    <x v="7"/>
    <s v="1086"/>
    <s v="Turmeric Extract Capsules"/>
    <s v="M36"/>
    <s v="5°C±3°C"/>
    <m/>
    <m/>
    <m/>
    <m/>
    <m/>
    <s v=""/>
    <m/>
    <m/>
    <x v="1"/>
    <m/>
    <s v="N/A"/>
    <m/>
    <m/>
    <s v="1086|M36"/>
    <x v="1"/>
    <x v="1"/>
    <x v="0"/>
    <x v="1"/>
  </r>
  <r>
    <x v="7"/>
    <s v="1086"/>
    <s v="Turmeric Extract Capsules"/>
    <s v="M3"/>
    <s v="40°C/75%RH"/>
    <d v="2026-02-03T00:00:00"/>
    <d v="2026-02-07T00:00:00"/>
    <d v="2026-02-21T00:00:00"/>
    <d v="2026-02-14T00:00:00"/>
    <d v="2026-03-16T00:00:00"/>
    <d v="1900-01-06T00:00:00"/>
    <s v="Active"/>
    <s v="In Progress"/>
    <x v="1"/>
    <s v="QIDR-979"/>
    <s v="N/A"/>
    <m/>
    <m/>
    <s v="1086|M3"/>
    <x v="1"/>
    <x v="2"/>
    <x v="0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69F06-27B5-4FE9-A93D-DE094363949B}" name="TablaDinámica5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64:N74" firstHeaderRow="1" firstDataRow="2" firstDataCol="1" rowPageCount="1" colPageCount="1"/>
  <pivotFields count="23">
    <pivotField axis="axisRow" showAll="0">
      <items count="9">
        <item x="7"/>
        <item x="1"/>
        <item x="5"/>
        <item x="2"/>
        <item x="6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axis="axisPage" showAll="0">
      <items count="89">
        <item m="1" x="86"/>
        <item m="1" x="55"/>
        <item m="1" x="64"/>
        <item m="1" x="52"/>
        <item m="1" x="79"/>
        <item m="1" x="76"/>
        <item m="1" x="87"/>
        <item m="1" x="50"/>
        <item m="1" x="56"/>
        <item m="1" x="74"/>
        <item m="1" x="72"/>
        <item m="1" x="68"/>
        <item m="1" x="46"/>
        <item m="1" x="77"/>
        <item m="1" x="62"/>
        <item m="1" x="48"/>
        <item m="1" x="71"/>
        <item m="1" x="47"/>
        <item m="1" x="69"/>
        <item m="1" x="66"/>
        <item m="1" x="59"/>
        <item m="1" x="67"/>
        <item m="1" x="58"/>
        <item m="1" x="78"/>
        <item m="1" x="80"/>
        <item m="1" x="51"/>
        <item m="1" x="73"/>
        <item m="1" x="83"/>
        <item m="1" x="70"/>
        <item m="1" x="54"/>
        <item m="1" x="82"/>
        <item m="1" x="81"/>
        <item m="1" x="57"/>
        <item m="1" x="49"/>
        <item m="1" x="61"/>
        <item m="1" x="60"/>
        <item m="1" x="75"/>
        <item m="1" x="53"/>
        <item m="1" x="84"/>
        <item m="1" x="63"/>
        <item m="1" x="85"/>
        <item m="1" x="65"/>
        <item x="1"/>
        <item x="29"/>
        <item x="42"/>
        <item x="33"/>
        <item x="12"/>
        <item x="38"/>
        <item x="23"/>
        <item x="6"/>
        <item x="10"/>
        <item x="5"/>
        <item x="40"/>
        <item x="26"/>
        <item x="27"/>
        <item x="20"/>
        <item x="45"/>
        <item x="16"/>
        <item x="13"/>
        <item x="4"/>
        <item x="41"/>
        <item x="44"/>
        <item x="39"/>
        <item x="0"/>
        <item x="43"/>
        <item x="24"/>
        <item x="21"/>
        <item x="25"/>
        <item x="3"/>
        <item x="18"/>
        <item x="14"/>
        <item x="34"/>
        <item x="22"/>
        <item x="7"/>
        <item x="9"/>
        <item x="8"/>
        <item x="15"/>
        <item x="31"/>
        <item x="2"/>
        <item x="17"/>
        <item x="19"/>
        <item x="11"/>
        <item x="36"/>
        <item x="30"/>
        <item x="35"/>
        <item x="28"/>
        <item x="32"/>
        <item x="37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pageFields count="1">
    <pageField fld="22" hier="-1"/>
  </pageFields>
  <dataFields count="1">
    <dataField name="Cuenta de Status Final_x000a_(Clean)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773D2-ACD1-4D8E-BA97-D5B0C3D36300}" name="TablaDinámica4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4:F112" firstHeaderRow="1" firstDataRow="2" firstDataCol="1" rowPageCount="1" colPageCount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Col" dataField="1" showAll="0">
      <items count="4">
        <item x="2"/>
        <item x="0"/>
        <item x="1"/>
        <item t="default"/>
      </items>
    </pivotField>
    <pivotField axis="axisRow" showAll="0">
      <items count="89">
        <item m="1" x="86"/>
        <item m="1" x="55"/>
        <item m="1" x="64"/>
        <item m="1" x="52"/>
        <item m="1" x="79"/>
        <item m="1" x="76"/>
        <item m="1" x="87"/>
        <item m="1" x="50"/>
        <item m="1" x="56"/>
        <item m="1" x="74"/>
        <item m="1" x="72"/>
        <item m="1" x="68"/>
        <item m="1" x="46"/>
        <item m="1" x="77"/>
        <item m="1" x="62"/>
        <item m="1" x="48"/>
        <item m="1" x="71"/>
        <item m="1" x="47"/>
        <item m="1" x="69"/>
        <item m="1" x="66"/>
        <item m="1" x="59"/>
        <item m="1" x="67"/>
        <item m="1" x="58"/>
        <item m="1" x="78"/>
        <item m="1" x="80"/>
        <item m="1" x="51"/>
        <item m="1" x="73"/>
        <item m="1" x="83"/>
        <item m="1" x="70"/>
        <item m="1" x="54"/>
        <item m="1" x="82"/>
        <item m="1" x="81"/>
        <item m="1" x="57"/>
        <item m="1" x="49"/>
        <item m="1" x="61"/>
        <item m="1" x="60"/>
        <item m="1" x="75"/>
        <item m="1" x="53"/>
        <item m="1" x="84"/>
        <item m="1" x="63"/>
        <item m="1" x="85"/>
        <item m="1" x="65"/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 count="1">
    <field x="22"/>
  </rowFields>
  <rowItems count="47"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pageFields count="1">
    <pageField fld="20" hier="-1"/>
  </pageFields>
  <dataFields count="1">
    <dataField name="Cuenta de OOS_x000a_(Clean)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D10C6-0E0B-4D42-9141-9204659AA71D}" name="TablaDinámica3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43:E53" firstHeaderRow="1" firstDataRow="2" firstDataCol="1"/>
  <pivotFields count="12">
    <pivotField axis="axisRow" showAll="0">
      <items count="9">
        <item x="7"/>
        <item x="1"/>
        <item x="5"/>
        <item x="2"/>
        <item x="6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Invoice Status" fld="11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EC12D-76B6-4299-8C0E-06E0F73090A8}" name="TablaDinámica2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4:F34" firstHeaderRow="1" firstDataRow="2" firstDataCol="1" rowPageCount="1" colPageCount="1"/>
  <pivotFields count="23">
    <pivotField axis="axisRow" showAll="0">
      <items count="9">
        <item x="7"/>
        <item x="1"/>
        <item x="5"/>
        <item x="2"/>
        <item x="6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Col" dataField="1" showAll="0">
      <items count="4">
        <item x="2"/>
        <item x="0"/>
        <item x="1"/>
        <item t="default"/>
      </items>
    </pivotField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pageFields count="1">
    <pageField fld="20" hier="-1"/>
  </pageFields>
  <dataFields count="1">
    <dataField name="Cuenta de OOS_x000a_(Clean)" fld="21" subtotal="count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D6015-601D-4454-B3AB-82967C6097B0}" name="TablaDinámica1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4:F14" firstHeaderRow="1" firstDataRow="2" firstDataCol="1" rowPageCount="1" colPageCount="1"/>
  <pivotFields count="23">
    <pivotField axis="axisRow" showAll="0">
      <items count="9">
        <item x="7"/>
        <item x="1"/>
        <item x="5"/>
        <item x="2"/>
        <item x="6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20" hier="-1"/>
  </pageFields>
  <dataFields count="1">
    <dataField name="Cuenta de Status Final" fld="13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" xr10:uid="{27E292CB-6E86-436D-9D1D-E8738F6DAA64}" sourceName="Client">
  <pivotTables>
    <pivotTable tabId="3" name="TablaDinámica1"/>
  </pivotTables>
  <data>
    <tabular pivotCacheId="1851130251">
      <items count="8">
        <i x="7" s="1"/>
        <i x="5" s="1"/>
        <i x="2" s="1"/>
        <i x="6" s="1"/>
        <i x="0" s="1"/>
        <i x="3" s="1"/>
        <i x="4" s="1"/>
        <i x="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_Final" xr10:uid="{029EFB4F-85FB-4391-9129-403FEA484F0D}" sourceName="Status Final">
  <pivotTables>
    <pivotTable tabId="3" name="TablaDinámica1"/>
  </pivotTables>
  <data>
    <tabular pivotCacheId="1851130251">
      <items count="3">
        <i x="0" s="1"/>
        <i x="2" s="1"/>
        <i x="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1" xr10:uid="{FD48B901-7FC6-4C40-BBD0-427A31814DA2}" sourceName="Client">
  <pivotTables>
    <pivotTable tabId="3" name="TablaDinámica2"/>
  </pivotTables>
  <data>
    <tabular pivotCacheId="1851130251">
      <items count="8">
        <i x="7" s="1"/>
        <i x="1" s="1"/>
        <i x="5" s="1"/>
        <i x="2" s="1"/>
        <i x="6" s="1"/>
        <i x="0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OS__Clean" xr10:uid="{5E65011D-E476-4C8D-9ED6-5A9334A87A7F}" sourceName="OOS_x000a_(Clean)">
  <pivotTables>
    <pivotTable tabId="3" name="TablaDinámica2"/>
  </pivotTables>
  <data>
    <tabular pivotCacheId="1851130251">
      <items count="3">
        <i x="2" s="1"/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2" xr10:uid="{49CCB66A-3FAB-4108-A81F-C9B6B30D18C3}" sourceName="Client">
  <pivotTables>
    <pivotTable tabId="3" name="TablaDinámica3"/>
  </pivotTables>
  <data>
    <tabular pivotCacheId="1150516232">
      <items count="8">
        <i x="7" s="1"/>
        <i x="1" s="1"/>
        <i x="5" s="1"/>
        <i x="2" s="1"/>
        <i x="6" s="1"/>
        <i x="0" s="1"/>
        <i x="3" s="1"/>
        <i x="4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Week__Actual_Pull" xr10:uid="{E29B042D-2709-4AB5-8F0A-61C489FD22A1}" sourceName="Week_x000a_(Actual Pull)">
  <pivotTables>
    <pivotTable tabId="3" name="TablaDinámica4"/>
  </pivotTables>
  <data>
    <tabular pivotCacheId="1851130251">
      <items count="88">
        <i x="1" s="1"/>
        <i x="29" s="1"/>
        <i x="42" s="1"/>
        <i x="33" s="1"/>
        <i x="12" s="1"/>
        <i x="38" s="1"/>
        <i x="23" s="1"/>
        <i x="6" s="1"/>
        <i x="10" s="1"/>
        <i x="5" s="1"/>
        <i x="40" s="1"/>
        <i x="26" s="1"/>
        <i x="27" s="1"/>
        <i x="20" s="1"/>
        <i x="45" s="1"/>
        <i x="16" s="1"/>
        <i x="13" s="1"/>
        <i x="4" s="1"/>
        <i x="41" s="1"/>
        <i x="44" s="1"/>
        <i x="39" s="1"/>
        <i x="0" s="1"/>
        <i x="43" s="1"/>
        <i x="24" s="1"/>
        <i x="21" s="1"/>
        <i x="25" s="1"/>
        <i x="3" s="1"/>
        <i x="18" s="1"/>
        <i x="14" s="1"/>
        <i x="34" s="1"/>
        <i x="22" s="1"/>
        <i x="7" s="1"/>
        <i x="9" s="1"/>
        <i x="8" s="1"/>
        <i x="15" s="1"/>
        <i x="31" s="1"/>
        <i x="2" s="1"/>
        <i x="17" s="1"/>
        <i x="19" s="1"/>
        <i x="11" s="1"/>
        <i x="36" s="1"/>
        <i x="30" s="1"/>
        <i x="35" s="1"/>
        <i x="28" s="1"/>
        <i x="32" s="1"/>
        <i x="37" s="1"/>
        <i x="86" s="1" nd="1"/>
        <i x="55" s="1" nd="1"/>
        <i x="64" s="1" nd="1"/>
        <i x="52" s="1" nd="1"/>
        <i x="79" s="1" nd="1"/>
        <i x="76" s="1" nd="1"/>
        <i x="87" s="1" nd="1"/>
        <i x="50" s="1" nd="1"/>
        <i x="56" s="1" nd="1"/>
        <i x="74" s="1" nd="1"/>
        <i x="72" s="1" nd="1"/>
        <i x="68" s="1" nd="1"/>
        <i x="46" s="1" nd="1"/>
        <i x="77" s="1" nd="1"/>
        <i x="62" s="1" nd="1"/>
        <i x="48" s="1" nd="1"/>
        <i x="71" s="1" nd="1"/>
        <i x="47" s="1" nd="1"/>
        <i x="69" s="1" nd="1"/>
        <i x="66" s="1" nd="1"/>
        <i x="59" s="1" nd="1"/>
        <i x="67" s="1" nd="1"/>
        <i x="58" s="1" nd="1"/>
        <i x="78" s="1" nd="1"/>
        <i x="80" s="1" nd="1"/>
        <i x="51" s="1" nd="1"/>
        <i x="73" s="1" nd="1"/>
        <i x="83" s="1" nd="1"/>
        <i x="70" s="1" nd="1"/>
        <i x="54" s="1" nd="1"/>
        <i x="82" s="1" nd="1"/>
        <i x="81" s="1" nd="1"/>
        <i x="57" s="1" nd="1"/>
        <i x="49" s="1" nd="1"/>
        <i x="61" s="1" nd="1"/>
        <i x="60" s="1" nd="1"/>
        <i x="75" s="1" nd="1"/>
        <i x="53" s="1" nd="1"/>
        <i x="84" s="1" nd="1"/>
        <i x="63" s="1" nd="1"/>
        <i x="85" s="1" nd="1"/>
        <i x="65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_Final__Clean" xr10:uid="{C3C005DF-7FE1-42A0-BD0D-00EA1797C31C}" sourceName="Status Final_x000a_(Clean)">
  <pivotTables>
    <pivotTable tabId="3" name="TablaDinámica5"/>
  </pivotTables>
  <data>
    <tabular pivotCacheId="185113025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" xr10:uid="{BB7FD019-F10E-4FE9-BC08-68EB829B7DDB}" cache="SegmentaciónDeDatos_Client" caption="Client" rowHeight="234950"/>
  <slicer name="Status Final" xr10:uid="{913BB8C5-F8B1-4EE5-AB6A-F7E82DD5EC08}" cache="SegmentaciónDeDatos_Status_Final" caption="Status Final" rowHeight="234950"/>
  <slicer name="Client 1" xr10:uid="{C9797918-97B7-4B0A-A6DC-2D5BFA8F3488}" cache="SegmentaciónDeDatos_Client1" caption="Client" rowHeight="234950"/>
  <slicer name="OOS_x000a_(Clean)" xr10:uid="{C4459F5E-F90F-49B6-AAB8-6D6CDBCC0B45}" cache="SegmentaciónDeDatos_OOS__Clean" caption="OOS_x000a_(Clean)" rowHeight="234950"/>
  <slicer name="Client 2" xr10:uid="{183CA265-B991-4956-966C-3EFBC7991E18}" cache="SegmentaciónDeDatos_Client2" caption="Client" rowHeight="234950"/>
  <slicer name="Week_x000a_(Actual Pull)" xr10:uid="{712E2348-8CD2-4E7A-8411-2B82FD0C673E}" cache="SegmentaciónDeDatos_Week__Actual_Pull" caption="Week_x000a_(Actual Pull)" rowHeight="234950"/>
  <slicer name="Status Final_x000a_(Clean)" xr10:uid="{6645BDBE-2A93-40C4-9B64-A499E597F94D}" cache="SegmentaciónDeDatos_Status_Final__Clean" caption="Status Final_x000a_(Clean)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zoomScaleNormal="100" workbookViewId="0">
      <pane ySplit="4" topLeftCell="A5" activePane="bottomLeft" state="frozen"/>
      <selection pane="bottomLeft" activeCell="J89" sqref="J89"/>
    </sheetView>
  </sheetViews>
  <sheetFormatPr baseColWidth="10" defaultColWidth="8.6640625" defaultRowHeight="14.4" x14ac:dyDescent="0.3"/>
  <cols>
    <col min="1" max="1" width="18" customWidth="1"/>
    <col min="2" max="2" width="14" customWidth="1"/>
    <col min="3" max="3" width="28" customWidth="1"/>
    <col min="4" max="4" width="10" customWidth="1"/>
    <col min="5" max="5" width="16" customWidth="1"/>
    <col min="6" max="6" width="14" customWidth="1"/>
    <col min="7" max="8" width="12" customWidth="1"/>
    <col min="9" max="11" width="14" customWidth="1"/>
    <col min="12" max="12" width="10" customWidth="1"/>
    <col min="13" max="13" width="18" customWidth="1"/>
    <col min="14" max="14" width="14" customWidth="1"/>
    <col min="15" max="16" width="12" customWidth="1"/>
    <col min="17" max="19" width="20" customWidth="1"/>
    <col min="20" max="20" width="16" customWidth="1"/>
    <col min="21" max="21" width="8" customWidth="1"/>
    <col min="22" max="22" width="18" customWidth="1"/>
    <col min="23" max="23" width="18.88671875" bestFit="1" customWidth="1"/>
  </cols>
  <sheetData>
    <row r="1" spans="1:23" ht="18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1.7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7.5" customHeight="1" x14ac:dyDescent="0.3"/>
    <row r="4" spans="1:23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spans="1:23" x14ac:dyDescent="0.3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6">
        <v>45764</v>
      </c>
      <c r="G5" s="6">
        <v>45757</v>
      </c>
      <c r="H5" s="6">
        <v>45771</v>
      </c>
      <c r="I5" s="6">
        <v>45764</v>
      </c>
      <c r="J5" s="6">
        <v>45794</v>
      </c>
      <c r="K5" s="7">
        <f t="shared" ref="K5:K36" si="0">IF(I5="","",I5-G5)</f>
        <v>7</v>
      </c>
      <c r="L5" s="5" t="s">
        <v>30</v>
      </c>
      <c r="M5" s="5" t="s">
        <v>31</v>
      </c>
      <c r="N5" s="5" t="s">
        <v>32</v>
      </c>
      <c r="O5" s="5"/>
      <c r="P5" s="5" t="s">
        <v>33</v>
      </c>
      <c r="Q5" s="5"/>
      <c r="R5" s="5" t="s">
        <v>34</v>
      </c>
      <c r="S5" s="8" t="str">
        <f t="shared" ref="S5:S36" si="1">TRIM(CLEAN(B5))&amp;"|"&amp;TRIM(CLEAN(D5))</f>
        <v>801|M9</v>
      </c>
      <c r="T5" s="9" t="str">
        <f t="shared" ref="T5:T36" si="2">IF(N5="","Pending",N5)</f>
        <v>Completed</v>
      </c>
      <c r="U5" s="9">
        <f t="shared" ref="U5:U36" si="3">IF(I5="","",YEAR(I5))</f>
        <v>2025</v>
      </c>
      <c r="V5" s="10" t="str">
        <f t="shared" ref="V5:V36" si="4">IF(P5="N/A","No OOS",IF(ISNUMBER(FIND("OOS Closed",Q5)),"Closed","Open"))</f>
        <v>No OOS</v>
      </c>
      <c r="W5" s="9" t="str">
        <f>IF(I5="", "", "Week " &amp; INT((DAY(I5)-1)/7)+1 &amp; " of " &amp; TEXT(I5, "mmmm"))</f>
        <v>Week 3 of April</v>
      </c>
    </row>
    <row r="6" spans="1:23" x14ac:dyDescent="0.3">
      <c r="A6" s="11" t="s">
        <v>25</v>
      </c>
      <c r="B6" s="11" t="s">
        <v>26</v>
      </c>
      <c r="C6" s="11" t="s">
        <v>27</v>
      </c>
      <c r="D6" s="11" t="s">
        <v>35</v>
      </c>
      <c r="E6" s="11" t="s">
        <v>36</v>
      </c>
      <c r="F6" s="11"/>
      <c r="G6" s="11"/>
      <c r="H6" s="11"/>
      <c r="I6" s="11"/>
      <c r="J6" s="11"/>
      <c r="K6" s="11" t="str">
        <f t="shared" si="0"/>
        <v/>
      </c>
      <c r="L6" s="11"/>
      <c r="M6" s="11"/>
      <c r="N6" s="11"/>
      <c r="O6" s="11"/>
      <c r="P6" s="11" t="s">
        <v>37</v>
      </c>
      <c r="Q6" s="11"/>
      <c r="R6" s="11"/>
      <c r="S6" s="8" t="str">
        <f t="shared" si="1"/>
        <v>801|M3</v>
      </c>
      <c r="T6" s="9" t="str">
        <f t="shared" si="2"/>
        <v>Pending</v>
      </c>
      <c r="U6" s="9" t="str">
        <f t="shared" si="3"/>
        <v/>
      </c>
      <c r="V6" s="10" t="str">
        <f t="shared" si="4"/>
        <v>Open</v>
      </c>
      <c r="W6" s="9" t="str">
        <f t="shared" ref="W6:W69" si="5">IF(I6="", "", "Week " &amp; INT((DAY(I6)-1)/7)+1 &amp; " of " &amp; TEXT(I6, "mmmm"))</f>
        <v/>
      </c>
    </row>
    <row r="7" spans="1:23" x14ac:dyDescent="0.3">
      <c r="A7" s="5" t="s">
        <v>25</v>
      </c>
      <c r="B7" s="5" t="s">
        <v>26</v>
      </c>
      <c r="C7" s="5" t="s">
        <v>27</v>
      </c>
      <c r="D7" s="5" t="s">
        <v>38</v>
      </c>
      <c r="E7" s="5" t="s">
        <v>29</v>
      </c>
      <c r="F7" s="5"/>
      <c r="G7" s="5"/>
      <c r="H7" s="5"/>
      <c r="I7" s="5"/>
      <c r="J7" s="5"/>
      <c r="K7" s="5" t="str">
        <f t="shared" si="0"/>
        <v/>
      </c>
      <c r="L7" s="5"/>
      <c r="M7" s="5"/>
      <c r="N7" s="5"/>
      <c r="O7" s="5"/>
      <c r="P7" s="5" t="s">
        <v>37</v>
      </c>
      <c r="Q7" s="5"/>
      <c r="R7" s="5"/>
      <c r="S7" s="8" t="str">
        <f t="shared" si="1"/>
        <v>801|M24</v>
      </c>
      <c r="T7" s="9" t="str">
        <f t="shared" si="2"/>
        <v>Pending</v>
      </c>
      <c r="U7" s="9" t="str">
        <f t="shared" si="3"/>
        <v/>
      </c>
      <c r="V7" s="10" t="str">
        <f t="shared" si="4"/>
        <v>Open</v>
      </c>
      <c r="W7" s="9" t="str">
        <f t="shared" si="5"/>
        <v/>
      </c>
    </row>
    <row r="8" spans="1:23" x14ac:dyDescent="0.3">
      <c r="A8" s="11" t="s">
        <v>25</v>
      </c>
      <c r="B8" s="11" t="s">
        <v>26</v>
      </c>
      <c r="C8" s="11" t="s">
        <v>27</v>
      </c>
      <c r="D8" s="11" t="s">
        <v>39</v>
      </c>
      <c r="E8" s="11" t="s">
        <v>36</v>
      </c>
      <c r="F8" s="12">
        <v>45799</v>
      </c>
      <c r="G8" s="12">
        <v>45793</v>
      </c>
      <c r="H8" s="12">
        <v>45807</v>
      </c>
      <c r="I8" s="12">
        <v>45800</v>
      </c>
      <c r="J8" s="12">
        <v>45830</v>
      </c>
      <c r="K8" s="13">
        <f t="shared" si="0"/>
        <v>7</v>
      </c>
      <c r="L8" s="11" t="s">
        <v>30</v>
      </c>
      <c r="M8" s="11" t="s">
        <v>31</v>
      </c>
      <c r="N8" s="11"/>
      <c r="O8" s="11"/>
      <c r="P8" s="11" t="s">
        <v>33</v>
      </c>
      <c r="Q8" s="11"/>
      <c r="R8" s="11"/>
      <c r="S8" s="8" t="str">
        <f t="shared" si="1"/>
        <v>801|M1</v>
      </c>
      <c r="T8" s="9" t="str">
        <f t="shared" si="2"/>
        <v>Pending</v>
      </c>
      <c r="U8" s="9">
        <f t="shared" si="3"/>
        <v>2025</v>
      </c>
      <c r="V8" s="10" t="str">
        <f t="shared" si="4"/>
        <v>No OOS</v>
      </c>
      <c r="W8" s="9" t="str">
        <f t="shared" si="5"/>
        <v>Week 4 of May</v>
      </c>
    </row>
    <row r="9" spans="1:23" x14ac:dyDescent="0.3">
      <c r="A9" s="5" t="s">
        <v>25</v>
      </c>
      <c r="B9" s="5" t="s">
        <v>26</v>
      </c>
      <c r="C9" s="5" t="s">
        <v>27</v>
      </c>
      <c r="D9" s="5" t="s">
        <v>40</v>
      </c>
      <c r="E9" s="5" t="s">
        <v>41</v>
      </c>
      <c r="F9" s="6">
        <v>46161</v>
      </c>
      <c r="G9" s="6">
        <v>46154</v>
      </c>
      <c r="H9" s="6">
        <v>46168</v>
      </c>
      <c r="I9" s="6">
        <v>46161</v>
      </c>
      <c r="J9" s="6">
        <v>46191</v>
      </c>
      <c r="K9" s="7">
        <f t="shared" si="0"/>
        <v>7</v>
      </c>
      <c r="L9" s="5" t="s">
        <v>30</v>
      </c>
      <c r="M9" s="5" t="s">
        <v>31</v>
      </c>
      <c r="N9" s="5"/>
      <c r="O9" s="5"/>
      <c r="P9" s="5" t="s">
        <v>33</v>
      </c>
      <c r="Q9" s="5"/>
      <c r="R9" s="5"/>
      <c r="S9" s="8" t="str">
        <f t="shared" si="1"/>
        <v>801|M12</v>
      </c>
      <c r="T9" s="9" t="str">
        <f t="shared" si="2"/>
        <v>Pending</v>
      </c>
      <c r="U9" s="9">
        <f t="shared" si="3"/>
        <v>2026</v>
      </c>
      <c r="V9" s="10" t="str">
        <f t="shared" si="4"/>
        <v>No OOS</v>
      </c>
      <c r="W9" s="9" t="str">
        <f t="shared" si="5"/>
        <v>Week 3 of May</v>
      </c>
    </row>
    <row r="10" spans="1:23" x14ac:dyDescent="0.3">
      <c r="A10" s="11" t="s">
        <v>25</v>
      </c>
      <c r="B10" s="11" t="s">
        <v>42</v>
      </c>
      <c r="C10" s="11" t="s">
        <v>43</v>
      </c>
      <c r="D10" s="11" t="s">
        <v>28</v>
      </c>
      <c r="E10" s="11" t="s">
        <v>41</v>
      </c>
      <c r="F10" s="12">
        <v>45775</v>
      </c>
      <c r="G10" s="12">
        <v>45781</v>
      </c>
      <c r="H10" s="12">
        <v>45795</v>
      </c>
      <c r="I10" s="12">
        <v>45788</v>
      </c>
      <c r="J10" s="12">
        <v>45818</v>
      </c>
      <c r="K10" s="13">
        <f t="shared" si="0"/>
        <v>7</v>
      </c>
      <c r="L10" s="11" t="s">
        <v>30</v>
      </c>
      <c r="M10" s="11" t="s">
        <v>31</v>
      </c>
      <c r="N10" s="11" t="s">
        <v>44</v>
      </c>
      <c r="O10" s="11"/>
      <c r="P10" s="11" t="s">
        <v>33</v>
      </c>
      <c r="Q10" s="11"/>
      <c r="R10" s="11"/>
      <c r="S10" s="8" t="str">
        <f t="shared" si="1"/>
        <v>821|M9</v>
      </c>
      <c r="T10" s="9" t="str">
        <f t="shared" si="2"/>
        <v>Not Completed</v>
      </c>
      <c r="U10" s="9">
        <f t="shared" si="3"/>
        <v>2025</v>
      </c>
      <c r="V10" s="10" t="str">
        <f t="shared" si="4"/>
        <v>No OOS</v>
      </c>
      <c r="W10" s="9" t="str">
        <f t="shared" si="5"/>
        <v>Week 2 of May</v>
      </c>
    </row>
    <row r="11" spans="1:23" x14ac:dyDescent="0.3">
      <c r="A11" s="5" t="s">
        <v>25</v>
      </c>
      <c r="B11" s="5" t="s">
        <v>42</v>
      </c>
      <c r="C11" s="5" t="s">
        <v>43</v>
      </c>
      <c r="D11" s="5" t="s">
        <v>45</v>
      </c>
      <c r="E11" s="5" t="s">
        <v>36</v>
      </c>
      <c r="F11" s="6">
        <v>45932</v>
      </c>
      <c r="G11" s="6">
        <v>45927</v>
      </c>
      <c r="H11" s="6">
        <v>45941</v>
      </c>
      <c r="I11" s="6">
        <v>45934</v>
      </c>
      <c r="J11" s="6">
        <v>45964</v>
      </c>
      <c r="K11" s="7">
        <f t="shared" si="0"/>
        <v>7</v>
      </c>
      <c r="L11" s="5" t="s">
        <v>30</v>
      </c>
      <c r="M11" s="5" t="s">
        <v>31</v>
      </c>
      <c r="N11" s="5"/>
      <c r="O11" s="5"/>
      <c r="P11" s="5" t="s">
        <v>46</v>
      </c>
      <c r="Q11" s="5"/>
      <c r="R11" s="5"/>
      <c r="S11" s="8" t="str">
        <f t="shared" si="1"/>
        <v>821|M18</v>
      </c>
      <c r="T11" s="9" t="str">
        <f t="shared" si="2"/>
        <v>Pending</v>
      </c>
      <c r="U11" s="9">
        <f t="shared" si="3"/>
        <v>2025</v>
      </c>
      <c r="V11" s="10" t="str">
        <f t="shared" si="4"/>
        <v>Open</v>
      </c>
      <c r="W11" s="9" t="str">
        <f t="shared" si="5"/>
        <v>Week 1 of October</v>
      </c>
    </row>
    <row r="12" spans="1:23" x14ac:dyDescent="0.3">
      <c r="A12" s="11" t="s">
        <v>25</v>
      </c>
      <c r="B12" s="11" t="s">
        <v>42</v>
      </c>
      <c r="C12" s="11" t="s">
        <v>43</v>
      </c>
      <c r="D12" s="11" t="s">
        <v>39</v>
      </c>
      <c r="E12" s="11" t="s">
        <v>29</v>
      </c>
      <c r="F12" s="12">
        <v>45775</v>
      </c>
      <c r="G12" s="12">
        <v>45777</v>
      </c>
      <c r="H12" s="12">
        <v>45791</v>
      </c>
      <c r="I12" s="12">
        <v>45784</v>
      </c>
      <c r="J12" s="12">
        <v>45814</v>
      </c>
      <c r="K12" s="13">
        <f t="shared" si="0"/>
        <v>7</v>
      </c>
      <c r="L12" s="11" t="s">
        <v>30</v>
      </c>
      <c r="M12" s="11" t="s">
        <v>31</v>
      </c>
      <c r="N12" s="11" t="s">
        <v>44</v>
      </c>
      <c r="O12" s="11"/>
      <c r="P12" s="11" t="s">
        <v>33</v>
      </c>
      <c r="Q12" s="11"/>
      <c r="R12" s="11"/>
      <c r="S12" s="8" t="str">
        <f t="shared" si="1"/>
        <v>821|M1</v>
      </c>
      <c r="T12" s="9" t="str">
        <f t="shared" si="2"/>
        <v>Not Completed</v>
      </c>
      <c r="U12" s="9">
        <f t="shared" si="3"/>
        <v>2025</v>
      </c>
      <c r="V12" s="10" t="str">
        <f t="shared" si="4"/>
        <v>No OOS</v>
      </c>
      <c r="W12" s="9" t="str">
        <f t="shared" si="5"/>
        <v>Week 1 of May</v>
      </c>
    </row>
    <row r="13" spans="1:23" x14ac:dyDescent="0.3">
      <c r="A13" s="5" t="s">
        <v>25</v>
      </c>
      <c r="B13" s="5" t="s">
        <v>42</v>
      </c>
      <c r="C13" s="5" t="s">
        <v>43</v>
      </c>
      <c r="D13" s="5" t="s">
        <v>38</v>
      </c>
      <c r="E13" s="5" t="s">
        <v>36</v>
      </c>
      <c r="F13" s="6">
        <v>46064</v>
      </c>
      <c r="G13" s="6">
        <v>46068</v>
      </c>
      <c r="H13" s="6">
        <v>46082</v>
      </c>
      <c r="I13" s="6">
        <v>46075</v>
      </c>
      <c r="J13" s="6">
        <v>46105</v>
      </c>
      <c r="K13" s="7">
        <f t="shared" si="0"/>
        <v>7</v>
      </c>
      <c r="L13" s="5" t="s">
        <v>30</v>
      </c>
      <c r="M13" s="5" t="s">
        <v>31</v>
      </c>
      <c r="N13" s="5"/>
      <c r="O13" s="5"/>
      <c r="P13" s="5" t="s">
        <v>33</v>
      </c>
      <c r="Q13" s="5"/>
      <c r="R13" s="5"/>
      <c r="S13" s="8" t="str">
        <f t="shared" si="1"/>
        <v>821|M24</v>
      </c>
      <c r="T13" s="9" t="str">
        <f t="shared" si="2"/>
        <v>Pending</v>
      </c>
      <c r="U13" s="9">
        <f t="shared" si="3"/>
        <v>2026</v>
      </c>
      <c r="V13" s="10" t="str">
        <f t="shared" si="4"/>
        <v>No OOS</v>
      </c>
      <c r="W13" s="9" t="str">
        <f t="shared" si="5"/>
        <v>Week 4 of February</v>
      </c>
    </row>
    <row r="14" spans="1:23" x14ac:dyDescent="0.3">
      <c r="A14" s="11" t="s">
        <v>25</v>
      </c>
      <c r="B14" s="11" t="s">
        <v>42</v>
      </c>
      <c r="C14" s="11" t="s">
        <v>43</v>
      </c>
      <c r="D14" s="11" t="s">
        <v>35</v>
      </c>
      <c r="E14" s="11" t="s">
        <v>47</v>
      </c>
      <c r="F14" s="12">
        <v>45852</v>
      </c>
      <c r="G14" s="12">
        <v>45858</v>
      </c>
      <c r="H14" s="12">
        <v>45872</v>
      </c>
      <c r="I14" s="12">
        <v>45865</v>
      </c>
      <c r="J14" s="12">
        <v>45895</v>
      </c>
      <c r="K14" s="13">
        <f t="shared" si="0"/>
        <v>7</v>
      </c>
      <c r="L14" s="11" t="s">
        <v>30</v>
      </c>
      <c r="M14" s="11" t="s">
        <v>31</v>
      </c>
      <c r="N14" s="11" t="s">
        <v>32</v>
      </c>
      <c r="O14" s="11"/>
      <c r="P14" s="11" t="s">
        <v>46</v>
      </c>
      <c r="Q14" s="11"/>
      <c r="R14" s="11" t="s">
        <v>34</v>
      </c>
      <c r="S14" s="8" t="str">
        <f t="shared" si="1"/>
        <v>821|M3</v>
      </c>
      <c r="T14" s="9" t="str">
        <f t="shared" si="2"/>
        <v>Completed</v>
      </c>
      <c r="U14" s="9">
        <f t="shared" si="3"/>
        <v>2025</v>
      </c>
      <c r="V14" s="10" t="str">
        <f t="shared" si="4"/>
        <v>Open</v>
      </c>
      <c r="W14" s="9" t="str">
        <f t="shared" si="5"/>
        <v>Week 4 of July</v>
      </c>
    </row>
    <row r="15" spans="1:23" x14ac:dyDescent="0.3">
      <c r="A15" s="5" t="s">
        <v>25</v>
      </c>
      <c r="B15" s="5" t="s">
        <v>48</v>
      </c>
      <c r="C15" s="5" t="s">
        <v>49</v>
      </c>
      <c r="D15" s="5" t="s">
        <v>50</v>
      </c>
      <c r="E15" s="5" t="s">
        <v>36</v>
      </c>
      <c r="F15" s="5"/>
      <c r="G15" s="5"/>
      <c r="H15" s="5"/>
      <c r="I15" s="5"/>
      <c r="J15" s="5"/>
      <c r="K15" s="5" t="str">
        <f t="shared" si="0"/>
        <v/>
      </c>
      <c r="L15" s="5"/>
      <c r="M15" s="5"/>
      <c r="N15" s="5"/>
      <c r="O15" s="5"/>
      <c r="P15" s="5" t="s">
        <v>33</v>
      </c>
      <c r="Q15" s="5"/>
      <c r="R15" s="5"/>
      <c r="S15" s="8" t="str">
        <f t="shared" si="1"/>
        <v>832|M36</v>
      </c>
      <c r="T15" s="9" t="str">
        <f t="shared" si="2"/>
        <v>Pending</v>
      </c>
      <c r="U15" s="9" t="str">
        <f t="shared" si="3"/>
        <v/>
      </c>
      <c r="V15" s="10" t="str">
        <f t="shared" si="4"/>
        <v>No OOS</v>
      </c>
      <c r="W15" s="9" t="str">
        <f t="shared" si="5"/>
        <v/>
      </c>
    </row>
    <row r="16" spans="1:23" x14ac:dyDescent="0.3">
      <c r="A16" s="11" t="s">
        <v>25</v>
      </c>
      <c r="B16" s="11" t="s">
        <v>48</v>
      </c>
      <c r="C16" s="11" t="s">
        <v>49</v>
      </c>
      <c r="D16" s="11" t="s">
        <v>28</v>
      </c>
      <c r="E16" s="11" t="s">
        <v>29</v>
      </c>
      <c r="F16" s="12">
        <v>46040</v>
      </c>
      <c r="G16" s="12">
        <v>46039</v>
      </c>
      <c r="H16" s="12">
        <v>46053</v>
      </c>
      <c r="I16" s="12">
        <v>46046</v>
      </c>
      <c r="J16" s="12">
        <v>46076</v>
      </c>
      <c r="K16" s="13">
        <f t="shared" si="0"/>
        <v>7</v>
      </c>
      <c r="L16" s="11" t="s">
        <v>30</v>
      </c>
      <c r="M16" s="11" t="s">
        <v>31</v>
      </c>
      <c r="N16" s="11"/>
      <c r="O16" s="11"/>
      <c r="P16" s="11" t="s">
        <v>33</v>
      </c>
      <c r="Q16" s="11"/>
      <c r="R16" s="11"/>
      <c r="S16" s="8" t="str">
        <f t="shared" si="1"/>
        <v>832|M9</v>
      </c>
      <c r="T16" s="9" t="str">
        <f t="shared" si="2"/>
        <v>Pending</v>
      </c>
      <c r="U16" s="9">
        <f t="shared" si="3"/>
        <v>2026</v>
      </c>
      <c r="V16" s="10" t="str">
        <f t="shared" si="4"/>
        <v>No OOS</v>
      </c>
      <c r="W16" s="9" t="str">
        <f t="shared" si="5"/>
        <v>Week 4 of January</v>
      </c>
    </row>
    <row r="17" spans="1:23" x14ac:dyDescent="0.3">
      <c r="A17" s="5" t="s">
        <v>25</v>
      </c>
      <c r="B17" s="5" t="s">
        <v>48</v>
      </c>
      <c r="C17" s="5" t="s">
        <v>49</v>
      </c>
      <c r="D17" s="5" t="s">
        <v>45</v>
      </c>
      <c r="E17" s="5" t="s">
        <v>29</v>
      </c>
      <c r="F17" s="5"/>
      <c r="G17" s="5"/>
      <c r="H17" s="5"/>
      <c r="I17" s="5"/>
      <c r="J17" s="5"/>
      <c r="K17" s="5" t="str">
        <f t="shared" si="0"/>
        <v/>
      </c>
      <c r="L17" s="5"/>
      <c r="M17" s="5"/>
      <c r="N17" s="5"/>
      <c r="O17" s="5"/>
      <c r="P17" s="5" t="s">
        <v>33</v>
      </c>
      <c r="Q17" s="5"/>
      <c r="R17" s="5" t="s">
        <v>34</v>
      </c>
      <c r="S17" s="8" t="str">
        <f t="shared" si="1"/>
        <v>832|M18</v>
      </c>
      <c r="T17" s="9" t="str">
        <f t="shared" si="2"/>
        <v>Pending</v>
      </c>
      <c r="U17" s="9" t="str">
        <f t="shared" si="3"/>
        <v/>
      </c>
      <c r="V17" s="10" t="str">
        <f t="shared" si="4"/>
        <v>No OOS</v>
      </c>
      <c r="W17" s="9" t="str">
        <f t="shared" si="5"/>
        <v/>
      </c>
    </row>
    <row r="18" spans="1:23" x14ac:dyDescent="0.3">
      <c r="A18" s="11" t="s">
        <v>25</v>
      </c>
      <c r="B18" s="11" t="s">
        <v>48</v>
      </c>
      <c r="C18" s="11" t="s">
        <v>49</v>
      </c>
      <c r="D18" s="11" t="s">
        <v>38</v>
      </c>
      <c r="E18" s="11" t="s">
        <v>41</v>
      </c>
      <c r="F18" s="12">
        <v>45955</v>
      </c>
      <c r="G18" s="12">
        <v>45957</v>
      </c>
      <c r="H18" s="12">
        <v>45971</v>
      </c>
      <c r="I18" s="12">
        <v>45964</v>
      </c>
      <c r="J18" s="12">
        <v>45994</v>
      </c>
      <c r="K18" s="13">
        <f t="shared" si="0"/>
        <v>7</v>
      </c>
      <c r="L18" s="11" t="s">
        <v>30</v>
      </c>
      <c r="M18" s="11" t="s">
        <v>31</v>
      </c>
      <c r="N18" s="11" t="s">
        <v>32</v>
      </c>
      <c r="O18" s="11"/>
      <c r="P18" s="11" t="s">
        <v>37</v>
      </c>
      <c r="Q18" s="11"/>
      <c r="R18" s="11" t="s">
        <v>34</v>
      </c>
      <c r="S18" s="8" t="str">
        <f t="shared" si="1"/>
        <v>832|M24</v>
      </c>
      <c r="T18" s="9" t="str">
        <f t="shared" si="2"/>
        <v>Completed</v>
      </c>
      <c r="U18" s="9">
        <f t="shared" si="3"/>
        <v>2025</v>
      </c>
      <c r="V18" s="10" t="str">
        <f t="shared" si="4"/>
        <v>Open</v>
      </c>
      <c r="W18" s="9" t="str">
        <f t="shared" si="5"/>
        <v>Week 1 of November</v>
      </c>
    </row>
    <row r="19" spans="1:23" x14ac:dyDescent="0.3">
      <c r="A19" s="5" t="s">
        <v>25</v>
      </c>
      <c r="B19" s="5" t="s">
        <v>51</v>
      </c>
      <c r="C19" s="5" t="s">
        <v>52</v>
      </c>
      <c r="D19" s="5" t="s">
        <v>40</v>
      </c>
      <c r="E19" s="5" t="s">
        <v>36</v>
      </c>
      <c r="F19" s="6">
        <v>45892</v>
      </c>
      <c r="G19" s="6">
        <v>45891</v>
      </c>
      <c r="H19" s="6">
        <v>45905</v>
      </c>
      <c r="I19" s="6">
        <v>45898</v>
      </c>
      <c r="J19" s="6">
        <v>45928</v>
      </c>
      <c r="K19" s="7">
        <f t="shared" si="0"/>
        <v>7</v>
      </c>
      <c r="L19" s="5" t="s">
        <v>30</v>
      </c>
      <c r="M19" s="5" t="s">
        <v>31</v>
      </c>
      <c r="N19" s="5" t="s">
        <v>44</v>
      </c>
      <c r="O19" s="5" t="s">
        <v>53</v>
      </c>
      <c r="P19" s="5" t="s">
        <v>54</v>
      </c>
      <c r="Q19" s="5"/>
      <c r="R19" s="5"/>
      <c r="S19" s="8" t="str">
        <f t="shared" si="1"/>
        <v>833|M12</v>
      </c>
      <c r="T19" s="9" t="str">
        <f t="shared" si="2"/>
        <v>Not Completed</v>
      </c>
      <c r="U19" s="9">
        <f t="shared" si="3"/>
        <v>2025</v>
      </c>
      <c r="V19" s="10" t="str">
        <f t="shared" si="4"/>
        <v>Open</v>
      </c>
      <c r="W19" s="9" t="str">
        <f t="shared" si="5"/>
        <v>Week 5 of August</v>
      </c>
    </row>
    <row r="20" spans="1:23" x14ac:dyDescent="0.3">
      <c r="A20" s="11" t="s">
        <v>25</v>
      </c>
      <c r="B20" s="11" t="s">
        <v>51</v>
      </c>
      <c r="C20" s="11" t="s">
        <v>52</v>
      </c>
      <c r="D20" s="11" t="s">
        <v>38</v>
      </c>
      <c r="E20" s="11" t="s">
        <v>29</v>
      </c>
      <c r="F20" s="12">
        <v>45789</v>
      </c>
      <c r="G20" s="12">
        <v>45795</v>
      </c>
      <c r="H20" s="12">
        <v>45809</v>
      </c>
      <c r="I20" s="12">
        <v>45802</v>
      </c>
      <c r="J20" s="12">
        <v>45832</v>
      </c>
      <c r="K20" s="13">
        <f t="shared" si="0"/>
        <v>7</v>
      </c>
      <c r="L20" s="11" t="s">
        <v>30</v>
      </c>
      <c r="M20" s="11" t="s">
        <v>31</v>
      </c>
      <c r="N20" s="11"/>
      <c r="O20" s="11"/>
      <c r="P20" s="11" t="s">
        <v>33</v>
      </c>
      <c r="Q20" s="11"/>
      <c r="R20" s="11"/>
      <c r="S20" s="8" t="str">
        <f t="shared" si="1"/>
        <v>833|M24</v>
      </c>
      <c r="T20" s="9" t="str">
        <f t="shared" si="2"/>
        <v>Pending</v>
      </c>
      <c r="U20" s="9">
        <f t="shared" si="3"/>
        <v>2025</v>
      </c>
      <c r="V20" s="10" t="str">
        <f t="shared" si="4"/>
        <v>No OOS</v>
      </c>
      <c r="W20" s="9" t="str">
        <f t="shared" si="5"/>
        <v>Week 4 of May</v>
      </c>
    </row>
    <row r="21" spans="1:23" x14ac:dyDescent="0.3">
      <c r="A21" s="5" t="s">
        <v>25</v>
      </c>
      <c r="B21" s="5" t="s">
        <v>51</v>
      </c>
      <c r="C21" s="5" t="s">
        <v>52</v>
      </c>
      <c r="D21" s="5" t="s">
        <v>45</v>
      </c>
      <c r="E21" s="5" t="s">
        <v>36</v>
      </c>
      <c r="F21" s="6">
        <v>46132</v>
      </c>
      <c r="G21" s="6">
        <v>46139</v>
      </c>
      <c r="H21" s="6">
        <v>46153</v>
      </c>
      <c r="I21" s="6">
        <v>46146</v>
      </c>
      <c r="J21" s="6">
        <v>46176</v>
      </c>
      <c r="K21" s="7">
        <f t="shared" si="0"/>
        <v>7</v>
      </c>
      <c r="L21" s="5" t="s">
        <v>30</v>
      </c>
      <c r="M21" s="5" t="s">
        <v>31</v>
      </c>
      <c r="N21" s="5"/>
      <c r="O21" s="5"/>
      <c r="P21" s="5" t="s">
        <v>33</v>
      </c>
      <c r="Q21" s="5"/>
      <c r="R21" s="5"/>
      <c r="S21" s="8" t="str">
        <f t="shared" si="1"/>
        <v>833|M18</v>
      </c>
      <c r="T21" s="9" t="str">
        <f t="shared" si="2"/>
        <v>Pending</v>
      </c>
      <c r="U21" s="9">
        <f t="shared" si="3"/>
        <v>2026</v>
      </c>
      <c r="V21" s="10" t="str">
        <f t="shared" si="4"/>
        <v>No OOS</v>
      </c>
      <c r="W21" s="9" t="str">
        <f t="shared" si="5"/>
        <v>Week 1 of May</v>
      </c>
    </row>
    <row r="22" spans="1:23" x14ac:dyDescent="0.3">
      <c r="A22" s="11" t="s">
        <v>55</v>
      </c>
      <c r="B22" s="11" t="s">
        <v>56</v>
      </c>
      <c r="C22" s="11" t="s">
        <v>57</v>
      </c>
      <c r="D22" s="11" t="s">
        <v>39</v>
      </c>
      <c r="E22" s="11" t="s">
        <v>29</v>
      </c>
      <c r="F22" s="11"/>
      <c r="G22" s="11"/>
      <c r="H22" s="11"/>
      <c r="I22" s="11"/>
      <c r="J22" s="11"/>
      <c r="K22" s="11" t="str">
        <f t="shared" si="0"/>
        <v/>
      </c>
      <c r="L22" s="11"/>
      <c r="M22" s="11"/>
      <c r="N22" s="11"/>
      <c r="O22" s="11"/>
      <c r="P22" s="11" t="s">
        <v>33</v>
      </c>
      <c r="Q22" s="11"/>
      <c r="R22" s="11"/>
      <c r="S22" s="8" t="str">
        <f t="shared" si="1"/>
        <v>843|M1</v>
      </c>
      <c r="T22" s="9" t="str">
        <f t="shared" si="2"/>
        <v>Pending</v>
      </c>
      <c r="U22" s="9" t="str">
        <f t="shared" si="3"/>
        <v/>
      </c>
      <c r="V22" s="10" t="str">
        <f t="shared" si="4"/>
        <v>No OOS</v>
      </c>
      <c r="W22" s="9" t="str">
        <f t="shared" si="5"/>
        <v/>
      </c>
    </row>
    <row r="23" spans="1:23" x14ac:dyDescent="0.3">
      <c r="A23" s="5" t="s">
        <v>55</v>
      </c>
      <c r="B23" s="5" t="s">
        <v>56</v>
      </c>
      <c r="C23" s="5" t="s">
        <v>57</v>
      </c>
      <c r="D23" s="5" t="s">
        <v>35</v>
      </c>
      <c r="E23" s="5" t="s">
        <v>29</v>
      </c>
      <c r="F23" s="6">
        <v>46027</v>
      </c>
      <c r="G23" s="6">
        <v>46022</v>
      </c>
      <c r="H23" s="6">
        <v>46036</v>
      </c>
      <c r="I23" s="6">
        <v>46029</v>
      </c>
      <c r="J23" s="6">
        <v>46059</v>
      </c>
      <c r="K23" s="7">
        <f t="shared" si="0"/>
        <v>7</v>
      </c>
      <c r="L23" s="5" t="s">
        <v>30</v>
      </c>
      <c r="M23" s="5" t="s">
        <v>31</v>
      </c>
      <c r="N23" s="5"/>
      <c r="O23" s="5"/>
      <c r="P23" s="5" t="s">
        <v>37</v>
      </c>
      <c r="Q23" s="5" t="s">
        <v>58</v>
      </c>
      <c r="R23" s="5"/>
      <c r="S23" s="8" t="str">
        <f t="shared" si="1"/>
        <v>843|M3</v>
      </c>
      <c r="T23" s="9" t="str">
        <f t="shared" si="2"/>
        <v>Pending</v>
      </c>
      <c r="U23" s="9">
        <f t="shared" si="3"/>
        <v>2026</v>
      </c>
      <c r="V23" s="10" t="str">
        <f t="shared" si="4"/>
        <v>Closed</v>
      </c>
      <c r="W23" s="9" t="str">
        <f t="shared" si="5"/>
        <v>Week 1 of January</v>
      </c>
    </row>
    <row r="24" spans="1:23" x14ac:dyDescent="0.3">
      <c r="A24" s="11" t="s">
        <v>55</v>
      </c>
      <c r="B24" s="11" t="s">
        <v>56</v>
      </c>
      <c r="C24" s="11" t="s">
        <v>57</v>
      </c>
      <c r="D24" s="11" t="s">
        <v>40</v>
      </c>
      <c r="E24" s="11" t="s">
        <v>41</v>
      </c>
      <c r="F24" s="12">
        <v>46081</v>
      </c>
      <c r="G24" s="12">
        <v>46084</v>
      </c>
      <c r="H24" s="12">
        <v>46098</v>
      </c>
      <c r="I24" s="12">
        <v>46091</v>
      </c>
      <c r="J24" s="12">
        <v>46121</v>
      </c>
      <c r="K24" s="13">
        <f t="shared" si="0"/>
        <v>7</v>
      </c>
      <c r="L24" s="11" t="s">
        <v>30</v>
      </c>
      <c r="M24" s="11" t="s">
        <v>31</v>
      </c>
      <c r="N24" s="11"/>
      <c r="O24" s="11"/>
      <c r="P24" s="11" t="s">
        <v>54</v>
      </c>
      <c r="Q24" s="11" t="s">
        <v>58</v>
      </c>
      <c r="R24" s="11"/>
      <c r="S24" s="8" t="str">
        <f t="shared" si="1"/>
        <v>843|M12</v>
      </c>
      <c r="T24" s="9" t="str">
        <f t="shared" si="2"/>
        <v>Pending</v>
      </c>
      <c r="U24" s="9">
        <f t="shared" si="3"/>
        <v>2026</v>
      </c>
      <c r="V24" s="10" t="str">
        <f t="shared" si="4"/>
        <v>Closed</v>
      </c>
      <c r="W24" s="9" t="str">
        <f t="shared" si="5"/>
        <v>Week 2 of March</v>
      </c>
    </row>
    <row r="25" spans="1:23" x14ac:dyDescent="0.3">
      <c r="A25" s="5" t="s">
        <v>55</v>
      </c>
      <c r="B25" s="5" t="s">
        <v>56</v>
      </c>
      <c r="C25" s="5" t="s">
        <v>57</v>
      </c>
      <c r="D25" s="5" t="s">
        <v>50</v>
      </c>
      <c r="E25" s="5" t="s">
        <v>29</v>
      </c>
      <c r="F25" s="6">
        <v>45921</v>
      </c>
      <c r="G25" s="6">
        <v>45914</v>
      </c>
      <c r="H25" s="6">
        <v>45928</v>
      </c>
      <c r="I25" s="6">
        <v>45921</v>
      </c>
      <c r="J25" s="6">
        <v>45951</v>
      </c>
      <c r="K25" s="7">
        <f t="shared" si="0"/>
        <v>7</v>
      </c>
      <c r="L25" s="5" t="s">
        <v>30</v>
      </c>
      <c r="M25" s="5" t="s">
        <v>31</v>
      </c>
      <c r="N25" s="5"/>
      <c r="O25" s="5"/>
      <c r="P25" s="5" t="s">
        <v>33</v>
      </c>
      <c r="Q25" s="5"/>
      <c r="R25" s="5"/>
      <c r="S25" s="8" t="str">
        <f t="shared" si="1"/>
        <v>843|M36</v>
      </c>
      <c r="T25" s="9" t="str">
        <f t="shared" si="2"/>
        <v>Pending</v>
      </c>
      <c r="U25" s="9">
        <f t="shared" si="3"/>
        <v>2025</v>
      </c>
      <c r="V25" s="10" t="str">
        <f t="shared" si="4"/>
        <v>No OOS</v>
      </c>
      <c r="W25" s="9" t="str">
        <f t="shared" si="5"/>
        <v>Week 3 of September</v>
      </c>
    </row>
    <row r="26" spans="1:23" x14ac:dyDescent="0.3">
      <c r="A26" s="11" t="s">
        <v>55</v>
      </c>
      <c r="B26" s="11" t="s">
        <v>59</v>
      </c>
      <c r="C26" s="11" t="s">
        <v>60</v>
      </c>
      <c r="D26" s="11" t="s">
        <v>39</v>
      </c>
      <c r="E26" s="11" t="s">
        <v>29</v>
      </c>
      <c r="F26" s="11"/>
      <c r="G26" s="11"/>
      <c r="H26" s="11"/>
      <c r="I26" s="11"/>
      <c r="J26" s="11"/>
      <c r="K26" s="11" t="str">
        <f t="shared" si="0"/>
        <v/>
      </c>
      <c r="L26" s="11"/>
      <c r="M26" s="11"/>
      <c r="N26" s="11"/>
      <c r="O26" s="11"/>
      <c r="P26" s="11" t="s">
        <v>61</v>
      </c>
      <c r="Q26" s="11" t="s">
        <v>58</v>
      </c>
      <c r="R26" s="11"/>
      <c r="S26" s="8" t="str">
        <f t="shared" si="1"/>
        <v>851|M1</v>
      </c>
      <c r="T26" s="9" t="str">
        <f t="shared" si="2"/>
        <v>Pending</v>
      </c>
      <c r="U26" s="9" t="str">
        <f t="shared" si="3"/>
        <v/>
      </c>
      <c r="V26" s="10" t="str">
        <f t="shared" si="4"/>
        <v>Closed</v>
      </c>
      <c r="W26" s="9" t="str">
        <f t="shared" si="5"/>
        <v/>
      </c>
    </row>
    <row r="27" spans="1:23" x14ac:dyDescent="0.3">
      <c r="A27" s="5" t="s">
        <v>55</v>
      </c>
      <c r="B27" s="5" t="s">
        <v>59</v>
      </c>
      <c r="C27" s="5" t="s">
        <v>60</v>
      </c>
      <c r="D27" s="5" t="s">
        <v>38</v>
      </c>
      <c r="E27" s="5" t="s">
        <v>41</v>
      </c>
      <c r="F27" s="6">
        <v>46190</v>
      </c>
      <c r="G27" s="6">
        <v>46192</v>
      </c>
      <c r="H27" s="6">
        <v>46206</v>
      </c>
      <c r="I27" s="6">
        <v>46199</v>
      </c>
      <c r="J27" s="6">
        <v>46229</v>
      </c>
      <c r="K27" s="7">
        <f t="shared" si="0"/>
        <v>7</v>
      </c>
      <c r="L27" s="5" t="s">
        <v>30</v>
      </c>
      <c r="M27" s="5" t="s">
        <v>31</v>
      </c>
      <c r="N27" s="5"/>
      <c r="O27" s="5"/>
      <c r="P27" s="5" t="s">
        <v>54</v>
      </c>
      <c r="Q27" s="5"/>
      <c r="R27" s="5"/>
      <c r="S27" s="8" t="str">
        <f t="shared" si="1"/>
        <v>851|M24</v>
      </c>
      <c r="T27" s="9" t="str">
        <f t="shared" si="2"/>
        <v>Pending</v>
      </c>
      <c r="U27" s="9">
        <f t="shared" si="3"/>
        <v>2026</v>
      </c>
      <c r="V27" s="10" t="str">
        <f t="shared" si="4"/>
        <v>Open</v>
      </c>
      <c r="W27" s="9" t="str">
        <f t="shared" si="5"/>
        <v>Week 4 of June</v>
      </c>
    </row>
    <row r="28" spans="1:23" x14ac:dyDescent="0.3">
      <c r="A28" s="11" t="s">
        <v>55</v>
      </c>
      <c r="B28" s="11" t="s">
        <v>59</v>
      </c>
      <c r="C28" s="11" t="s">
        <v>60</v>
      </c>
      <c r="D28" s="11" t="s">
        <v>62</v>
      </c>
      <c r="E28" s="11" t="s">
        <v>41</v>
      </c>
      <c r="F28" s="12">
        <v>45787</v>
      </c>
      <c r="G28" s="12">
        <v>45790</v>
      </c>
      <c r="H28" s="12">
        <v>45804</v>
      </c>
      <c r="I28" s="12">
        <v>45797</v>
      </c>
      <c r="J28" s="12">
        <v>45827</v>
      </c>
      <c r="K28" s="13">
        <f t="shared" si="0"/>
        <v>7</v>
      </c>
      <c r="L28" s="11" t="s">
        <v>30</v>
      </c>
      <c r="M28" s="11" t="s">
        <v>31</v>
      </c>
      <c r="N28" s="11"/>
      <c r="O28" s="11" t="s">
        <v>63</v>
      </c>
      <c r="P28" s="11" t="s">
        <v>46</v>
      </c>
      <c r="Q28" s="11"/>
      <c r="R28" s="11"/>
      <c r="S28" s="8" t="str">
        <f t="shared" si="1"/>
        <v>851|M6</v>
      </c>
      <c r="T28" s="9" t="str">
        <f t="shared" si="2"/>
        <v>Pending</v>
      </c>
      <c r="U28" s="9">
        <f t="shared" si="3"/>
        <v>2025</v>
      </c>
      <c r="V28" s="10" t="str">
        <f t="shared" si="4"/>
        <v>Open</v>
      </c>
      <c r="W28" s="9" t="str">
        <f t="shared" si="5"/>
        <v>Week 3 of May</v>
      </c>
    </row>
    <row r="29" spans="1:23" x14ac:dyDescent="0.3">
      <c r="A29" s="5" t="s">
        <v>64</v>
      </c>
      <c r="B29" s="5" t="s">
        <v>65</v>
      </c>
      <c r="C29" s="5" t="s">
        <v>27</v>
      </c>
      <c r="D29" s="5" t="s">
        <v>45</v>
      </c>
      <c r="E29" s="5" t="s">
        <v>47</v>
      </c>
      <c r="F29" s="6">
        <v>45813</v>
      </c>
      <c r="G29" s="6">
        <v>45812</v>
      </c>
      <c r="H29" s="6">
        <v>45826</v>
      </c>
      <c r="I29" s="6">
        <v>45819</v>
      </c>
      <c r="J29" s="6">
        <v>45849</v>
      </c>
      <c r="K29" s="7">
        <f t="shared" si="0"/>
        <v>7</v>
      </c>
      <c r="L29" s="5" t="s">
        <v>30</v>
      </c>
      <c r="M29" s="5" t="s">
        <v>31</v>
      </c>
      <c r="N29" s="5" t="s">
        <v>44</v>
      </c>
      <c r="O29" s="5"/>
      <c r="P29" s="5" t="s">
        <v>61</v>
      </c>
      <c r="Q29" s="5"/>
      <c r="R29" s="5"/>
      <c r="S29" s="8" t="str">
        <f t="shared" si="1"/>
        <v>853|M18</v>
      </c>
      <c r="T29" s="9" t="str">
        <f t="shared" si="2"/>
        <v>Not Completed</v>
      </c>
      <c r="U29" s="9">
        <f t="shared" si="3"/>
        <v>2025</v>
      </c>
      <c r="V29" s="10" t="str">
        <f t="shared" si="4"/>
        <v>Open</v>
      </c>
      <c r="W29" s="9" t="str">
        <f t="shared" si="5"/>
        <v>Week 2 of June</v>
      </c>
    </row>
    <row r="30" spans="1:23" x14ac:dyDescent="0.3">
      <c r="A30" s="11" t="s">
        <v>64</v>
      </c>
      <c r="B30" s="11" t="s">
        <v>65</v>
      </c>
      <c r="C30" s="11" t="s">
        <v>27</v>
      </c>
      <c r="D30" s="11" t="s">
        <v>38</v>
      </c>
      <c r="E30" s="11" t="s">
        <v>47</v>
      </c>
      <c r="F30" s="12">
        <v>46028</v>
      </c>
      <c r="G30" s="12">
        <v>46022</v>
      </c>
      <c r="H30" s="12">
        <v>46036</v>
      </c>
      <c r="I30" s="12">
        <v>46029</v>
      </c>
      <c r="J30" s="12">
        <v>46059</v>
      </c>
      <c r="K30" s="13">
        <f t="shared" si="0"/>
        <v>7</v>
      </c>
      <c r="L30" s="11" t="s">
        <v>30</v>
      </c>
      <c r="M30" s="11" t="s">
        <v>31</v>
      </c>
      <c r="N30" s="11" t="s">
        <v>32</v>
      </c>
      <c r="O30" s="11" t="s">
        <v>66</v>
      </c>
      <c r="P30" s="11" t="s">
        <v>33</v>
      </c>
      <c r="Q30" s="11"/>
      <c r="R30" s="11" t="s">
        <v>34</v>
      </c>
      <c r="S30" s="8" t="str">
        <f t="shared" si="1"/>
        <v>853|M24</v>
      </c>
      <c r="T30" s="9" t="str">
        <f t="shared" si="2"/>
        <v>Completed</v>
      </c>
      <c r="U30" s="9">
        <f t="shared" si="3"/>
        <v>2026</v>
      </c>
      <c r="V30" s="10" t="str">
        <f t="shared" si="4"/>
        <v>No OOS</v>
      </c>
      <c r="W30" s="9" t="str">
        <f t="shared" si="5"/>
        <v>Week 1 of January</v>
      </c>
    </row>
    <row r="31" spans="1:23" x14ac:dyDescent="0.3">
      <c r="A31" s="5" t="s">
        <v>64</v>
      </c>
      <c r="B31" s="5" t="s">
        <v>65</v>
      </c>
      <c r="C31" s="5" t="s">
        <v>27</v>
      </c>
      <c r="D31" s="5" t="s">
        <v>39</v>
      </c>
      <c r="E31" s="5" t="s">
        <v>41</v>
      </c>
      <c r="F31" s="6">
        <v>45949</v>
      </c>
      <c r="G31" s="6">
        <v>45949</v>
      </c>
      <c r="H31" s="6">
        <v>45963</v>
      </c>
      <c r="I31" s="6">
        <v>45956</v>
      </c>
      <c r="J31" s="6">
        <v>45986</v>
      </c>
      <c r="K31" s="7">
        <f t="shared" si="0"/>
        <v>7</v>
      </c>
      <c r="L31" s="5" t="s">
        <v>30</v>
      </c>
      <c r="M31" s="5" t="s">
        <v>31</v>
      </c>
      <c r="N31" s="5"/>
      <c r="O31" s="5" t="s">
        <v>67</v>
      </c>
      <c r="P31" s="5" t="s">
        <v>33</v>
      </c>
      <c r="Q31" s="5"/>
      <c r="R31" s="5"/>
      <c r="S31" s="8" t="str">
        <f t="shared" si="1"/>
        <v>853|M1</v>
      </c>
      <c r="T31" s="9" t="str">
        <f t="shared" si="2"/>
        <v>Pending</v>
      </c>
      <c r="U31" s="9">
        <f t="shared" si="3"/>
        <v>2025</v>
      </c>
      <c r="V31" s="10" t="str">
        <f t="shared" si="4"/>
        <v>No OOS</v>
      </c>
      <c r="W31" s="9" t="str">
        <f t="shared" si="5"/>
        <v>Week 4 of October</v>
      </c>
    </row>
    <row r="32" spans="1:23" x14ac:dyDescent="0.3">
      <c r="A32" s="11" t="s">
        <v>64</v>
      </c>
      <c r="B32" s="11" t="s">
        <v>65</v>
      </c>
      <c r="C32" s="11" t="s">
        <v>27</v>
      </c>
      <c r="D32" s="11" t="s">
        <v>35</v>
      </c>
      <c r="E32" s="11" t="s">
        <v>41</v>
      </c>
      <c r="F32" s="12">
        <v>45943</v>
      </c>
      <c r="G32" s="12">
        <v>45940</v>
      </c>
      <c r="H32" s="12">
        <v>45954</v>
      </c>
      <c r="I32" s="12">
        <v>45947</v>
      </c>
      <c r="J32" s="12">
        <v>45977</v>
      </c>
      <c r="K32" s="13">
        <f t="shared" si="0"/>
        <v>7</v>
      </c>
      <c r="L32" s="11" t="s">
        <v>30</v>
      </c>
      <c r="M32" s="11" t="s">
        <v>31</v>
      </c>
      <c r="N32" s="11"/>
      <c r="O32" s="11"/>
      <c r="P32" s="11" t="s">
        <v>61</v>
      </c>
      <c r="Q32" s="11"/>
      <c r="R32" s="11"/>
      <c r="S32" s="8" t="str">
        <f t="shared" si="1"/>
        <v>853|M3</v>
      </c>
      <c r="T32" s="9" t="str">
        <f t="shared" si="2"/>
        <v>Pending</v>
      </c>
      <c r="U32" s="9">
        <f t="shared" si="3"/>
        <v>2025</v>
      </c>
      <c r="V32" s="10" t="str">
        <f t="shared" si="4"/>
        <v>Open</v>
      </c>
      <c r="W32" s="9" t="str">
        <f t="shared" si="5"/>
        <v>Week 3 of October</v>
      </c>
    </row>
    <row r="33" spans="1:23" x14ac:dyDescent="0.3">
      <c r="A33" s="5" t="s">
        <v>64</v>
      </c>
      <c r="B33" s="5" t="s">
        <v>65</v>
      </c>
      <c r="C33" s="5" t="s">
        <v>27</v>
      </c>
      <c r="D33" s="5" t="s">
        <v>40</v>
      </c>
      <c r="E33" s="5" t="s">
        <v>36</v>
      </c>
      <c r="F33" s="6">
        <v>45768</v>
      </c>
      <c r="G33" s="6">
        <v>45770</v>
      </c>
      <c r="H33" s="6">
        <v>45784</v>
      </c>
      <c r="I33" s="6">
        <v>45777</v>
      </c>
      <c r="J33" s="6">
        <v>45807</v>
      </c>
      <c r="K33" s="7">
        <f t="shared" si="0"/>
        <v>7</v>
      </c>
      <c r="L33" s="5" t="s">
        <v>30</v>
      </c>
      <c r="M33" s="5" t="s">
        <v>31</v>
      </c>
      <c r="N33" s="5"/>
      <c r="O33" s="5"/>
      <c r="P33" s="5" t="s">
        <v>33</v>
      </c>
      <c r="Q33" s="5"/>
      <c r="R33" s="5"/>
      <c r="S33" s="8" t="str">
        <f t="shared" si="1"/>
        <v>853|M12</v>
      </c>
      <c r="T33" s="9" t="str">
        <f t="shared" si="2"/>
        <v>Pending</v>
      </c>
      <c r="U33" s="9">
        <f t="shared" si="3"/>
        <v>2025</v>
      </c>
      <c r="V33" s="10" t="str">
        <f t="shared" si="4"/>
        <v>No OOS</v>
      </c>
      <c r="W33" s="9" t="str">
        <f t="shared" si="5"/>
        <v>Week 5 of April</v>
      </c>
    </row>
    <row r="34" spans="1:23" x14ac:dyDescent="0.3">
      <c r="A34" s="11" t="s">
        <v>64</v>
      </c>
      <c r="B34" s="11" t="s">
        <v>65</v>
      </c>
      <c r="C34" s="11" t="s">
        <v>27</v>
      </c>
      <c r="D34" s="11" t="s">
        <v>50</v>
      </c>
      <c r="E34" s="11" t="s">
        <v>47</v>
      </c>
      <c r="F34" s="12">
        <v>45991</v>
      </c>
      <c r="G34" s="12">
        <v>45998</v>
      </c>
      <c r="H34" s="12">
        <v>46012</v>
      </c>
      <c r="I34" s="12">
        <v>46005</v>
      </c>
      <c r="J34" s="12">
        <v>46035</v>
      </c>
      <c r="K34" s="13">
        <f t="shared" si="0"/>
        <v>7</v>
      </c>
      <c r="L34" s="11" t="s">
        <v>30</v>
      </c>
      <c r="M34" s="11" t="s">
        <v>31</v>
      </c>
      <c r="N34" s="11"/>
      <c r="O34" s="11" t="s">
        <v>68</v>
      </c>
      <c r="P34" s="11" t="s">
        <v>33</v>
      </c>
      <c r="Q34" s="11"/>
      <c r="R34" s="11"/>
      <c r="S34" s="8" t="str">
        <f t="shared" si="1"/>
        <v>853|M36</v>
      </c>
      <c r="T34" s="9" t="str">
        <f t="shared" si="2"/>
        <v>Pending</v>
      </c>
      <c r="U34" s="9">
        <f t="shared" si="3"/>
        <v>2025</v>
      </c>
      <c r="V34" s="10" t="str">
        <f t="shared" si="4"/>
        <v>No OOS</v>
      </c>
      <c r="W34" s="9" t="str">
        <f t="shared" si="5"/>
        <v>Week 2 of December</v>
      </c>
    </row>
    <row r="35" spans="1:23" x14ac:dyDescent="0.3">
      <c r="A35" s="5" t="s">
        <v>64</v>
      </c>
      <c r="B35" s="5" t="s">
        <v>69</v>
      </c>
      <c r="C35" s="5" t="s">
        <v>70</v>
      </c>
      <c r="D35" s="5" t="s">
        <v>28</v>
      </c>
      <c r="E35" s="5" t="s">
        <v>47</v>
      </c>
      <c r="F35" s="6">
        <v>46036</v>
      </c>
      <c r="G35" s="6">
        <v>46032</v>
      </c>
      <c r="H35" s="6">
        <v>46046</v>
      </c>
      <c r="I35" s="6">
        <v>46039</v>
      </c>
      <c r="J35" s="6">
        <v>46069</v>
      </c>
      <c r="K35" s="7">
        <f t="shared" si="0"/>
        <v>7</v>
      </c>
      <c r="L35" s="5" t="s">
        <v>30</v>
      </c>
      <c r="M35" s="5" t="s">
        <v>31</v>
      </c>
      <c r="N35" s="5"/>
      <c r="O35" s="5"/>
      <c r="P35" s="5" t="s">
        <v>33</v>
      </c>
      <c r="Q35" s="5"/>
      <c r="R35" s="5"/>
      <c r="S35" s="8" t="str">
        <f t="shared" si="1"/>
        <v>856|M9</v>
      </c>
      <c r="T35" s="9" t="str">
        <f t="shared" si="2"/>
        <v>Pending</v>
      </c>
      <c r="U35" s="9">
        <f t="shared" si="3"/>
        <v>2026</v>
      </c>
      <c r="V35" s="10" t="str">
        <f t="shared" si="4"/>
        <v>No OOS</v>
      </c>
      <c r="W35" s="9" t="str">
        <f t="shared" si="5"/>
        <v>Week 3 of January</v>
      </c>
    </row>
    <row r="36" spans="1:23" x14ac:dyDescent="0.3">
      <c r="A36" s="11" t="s">
        <v>64</v>
      </c>
      <c r="B36" s="11" t="s">
        <v>69</v>
      </c>
      <c r="C36" s="11" t="s">
        <v>70</v>
      </c>
      <c r="D36" s="11" t="s">
        <v>50</v>
      </c>
      <c r="E36" s="11" t="s">
        <v>36</v>
      </c>
      <c r="F36" s="12">
        <v>46010</v>
      </c>
      <c r="G36" s="12">
        <v>46008</v>
      </c>
      <c r="H36" s="12">
        <v>46022</v>
      </c>
      <c r="I36" s="12">
        <v>46015</v>
      </c>
      <c r="J36" s="12">
        <v>46045</v>
      </c>
      <c r="K36" s="13">
        <f t="shared" si="0"/>
        <v>7</v>
      </c>
      <c r="L36" s="11" t="s">
        <v>30</v>
      </c>
      <c r="M36" s="11" t="s">
        <v>31</v>
      </c>
      <c r="N36" s="11"/>
      <c r="O36" s="11"/>
      <c r="P36" s="11" t="s">
        <v>33</v>
      </c>
      <c r="Q36" s="11"/>
      <c r="R36" s="11"/>
      <c r="S36" s="8" t="str">
        <f t="shared" si="1"/>
        <v>856|M36</v>
      </c>
      <c r="T36" s="9" t="str">
        <f t="shared" si="2"/>
        <v>Pending</v>
      </c>
      <c r="U36" s="9">
        <f t="shared" si="3"/>
        <v>2025</v>
      </c>
      <c r="V36" s="10" t="str">
        <f t="shared" si="4"/>
        <v>No OOS</v>
      </c>
      <c r="W36" s="9" t="str">
        <f t="shared" si="5"/>
        <v>Week 4 of December</v>
      </c>
    </row>
    <row r="37" spans="1:23" x14ac:dyDescent="0.3">
      <c r="A37" s="5" t="s">
        <v>64</v>
      </c>
      <c r="B37" s="5" t="s">
        <v>69</v>
      </c>
      <c r="C37" s="5" t="s">
        <v>70</v>
      </c>
      <c r="D37" s="5" t="s">
        <v>39</v>
      </c>
      <c r="E37" s="5" t="s">
        <v>47</v>
      </c>
      <c r="F37" s="6">
        <v>46081</v>
      </c>
      <c r="G37" s="6">
        <v>46084</v>
      </c>
      <c r="H37" s="6">
        <v>46098</v>
      </c>
      <c r="I37" s="6">
        <v>46091</v>
      </c>
      <c r="J37" s="6">
        <v>46121</v>
      </c>
      <c r="K37" s="7">
        <f t="shared" ref="K37:K68" si="6">IF(I37="","",I37-G37)</f>
        <v>7</v>
      </c>
      <c r="L37" s="5" t="s">
        <v>30</v>
      </c>
      <c r="M37" s="5" t="s">
        <v>31</v>
      </c>
      <c r="N37" s="5"/>
      <c r="O37" s="5"/>
      <c r="P37" s="5" t="s">
        <v>54</v>
      </c>
      <c r="Q37" s="5"/>
      <c r="R37" s="5"/>
      <c r="S37" s="8" t="str">
        <f t="shared" ref="S37:S68" si="7">TRIM(CLEAN(B37))&amp;"|"&amp;TRIM(CLEAN(D37))</f>
        <v>856|M1</v>
      </c>
      <c r="T37" s="9" t="str">
        <f t="shared" ref="T37:T68" si="8">IF(N37="","Pending",N37)</f>
        <v>Pending</v>
      </c>
      <c r="U37" s="9">
        <f t="shared" ref="U37:U68" si="9">IF(I37="","",YEAR(I37))</f>
        <v>2026</v>
      </c>
      <c r="V37" s="10" t="str">
        <f t="shared" ref="V37:V68" si="10">IF(P37="N/A","No OOS",IF(ISNUMBER(FIND("OOS Closed",Q37)),"Closed","Open"))</f>
        <v>Open</v>
      </c>
      <c r="W37" s="9" t="str">
        <f t="shared" si="5"/>
        <v>Week 2 of March</v>
      </c>
    </row>
    <row r="38" spans="1:23" x14ac:dyDescent="0.3">
      <c r="A38" s="11" t="s">
        <v>64</v>
      </c>
      <c r="B38" s="11" t="s">
        <v>71</v>
      </c>
      <c r="C38" s="11" t="s">
        <v>49</v>
      </c>
      <c r="D38" s="11" t="s">
        <v>35</v>
      </c>
      <c r="E38" s="11" t="s">
        <v>29</v>
      </c>
      <c r="F38" s="12">
        <v>45801</v>
      </c>
      <c r="G38" s="12">
        <v>45808</v>
      </c>
      <c r="H38" s="12">
        <v>45822</v>
      </c>
      <c r="I38" s="12">
        <v>45815</v>
      </c>
      <c r="J38" s="12">
        <v>45845</v>
      </c>
      <c r="K38" s="13">
        <f t="shared" si="6"/>
        <v>7</v>
      </c>
      <c r="L38" s="11" t="s">
        <v>30</v>
      </c>
      <c r="M38" s="11" t="s">
        <v>31</v>
      </c>
      <c r="N38" s="11"/>
      <c r="O38" s="11"/>
      <c r="P38" s="11" t="s">
        <v>33</v>
      </c>
      <c r="Q38" s="11"/>
      <c r="R38" s="11"/>
      <c r="S38" s="8" t="str">
        <f t="shared" si="7"/>
        <v>875|M3</v>
      </c>
      <c r="T38" s="9" t="str">
        <f t="shared" si="8"/>
        <v>Pending</v>
      </c>
      <c r="U38" s="9">
        <f t="shared" si="9"/>
        <v>2025</v>
      </c>
      <c r="V38" s="10" t="str">
        <f t="shared" si="10"/>
        <v>No OOS</v>
      </c>
      <c r="W38" s="9" t="str">
        <f t="shared" si="5"/>
        <v>Week 1 of June</v>
      </c>
    </row>
    <row r="39" spans="1:23" x14ac:dyDescent="0.3">
      <c r="A39" s="5" t="s">
        <v>64</v>
      </c>
      <c r="B39" s="5" t="s">
        <v>71</v>
      </c>
      <c r="C39" s="5" t="s">
        <v>49</v>
      </c>
      <c r="D39" s="5" t="s">
        <v>40</v>
      </c>
      <c r="E39" s="5" t="s">
        <v>36</v>
      </c>
      <c r="F39" s="6">
        <v>46166</v>
      </c>
      <c r="G39" s="6">
        <v>46167</v>
      </c>
      <c r="H39" s="6">
        <v>46181</v>
      </c>
      <c r="I39" s="6">
        <v>46174</v>
      </c>
      <c r="J39" s="6">
        <v>46204</v>
      </c>
      <c r="K39" s="7">
        <f t="shared" si="6"/>
        <v>7</v>
      </c>
      <c r="L39" s="5" t="s">
        <v>30</v>
      </c>
      <c r="M39" s="5" t="s">
        <v>31</v>
      </c>
      <c r="N39" s="5"/>
      <c r="O39" s="5" t="s">
        <v>72</v>
      </c>
      <c r="P39" s="5" t="s">
        <v>33</v>
      </c>
      <c r="Q39" s="5"/>
      <c r="R39" s="5"/>
      <c r="S39" s="8" t="str">
        <f t="shared" si="7"/>
        <v>875|M12</v>
      </c>
      <c r="T39" s="9" t="str">
        <f t="shared" si="8"/>
        <v>Pending</v>
      </c>
      <c r="U39" s="9">
        <f t="shared" si="9"/>
        <v>2026</v>
      </c>
      <c r="V39" s="10" t="str">
        <f t="shared" si="10"/>
        <v>No OOS</v>
      </c>
      <c r="W39" s="9" t="str">
        <f t="shared" si="5"/>
        <v>Week 1 of June</v>
      </c>
    </row>
    <row r="40" spans="1:23" x14ac:dyDescent="0.3">
      <c r="A40" s="11" t="s">
        <v>64</v>
      </c>
      <c r="B40" s="11" t="s">
        <v>71</v>
      </c>
      <c r="C40" s="11" t="s">
        <v>49</v>
      </c>
      <c r="D40" s="11" t="s">
        <v>50</v>
      </c>
      <c r="E40" s="11" t="s">
        <v>29</v>
      </c>
      <c r="F40" s="12">
        <v>45812</v>
      </c>
      <c r="G40" s="12">
        <v>45809</v>
      </c>
      <c r="H40" s="12">
        <v>45823</v>
      </c>
      <c r="I40" s="12">
        <v>45816</v>
      </c>
      <c r="J40" s="12">
        <v>45846</v>
      </c>
      <c r="K40" s="13">
        <f t="shared" si="6"/>
        <v>7</v>
      </c>
      <c r="L40" s="11" t="s">
        <v>30</v>
      </c>
      <c r="M40" s="11" t="s">
        <v>31</v>
      </c>
      <c r="N40" s="11" t="s">
        <v>32</v>
      </c>
      <c r="O40" s="11"/>
      <c r="P40" s="11" t="s">
        <v>33</v>
      </c>
      <c r="Q40" s="11"/>
      <c r="R40" s="11" t="s">
        <v>34</v>
      </c>
      <c r="S40" s="8" t="str">
        <f t="shared" si="7"/>
        <v>875|M36</v>
      </c>
      <c r="T40" s="9" t="str">
        <f t="shared" si="8"/>
        <v>Completed</v>
      </c>
      <c r="U40" s="9">
        <f t="shared" si="9"/>
        <v>2025</v>
      </c>
      <c r="V40" s="10" t="str">
        <f t="shared" si="10"/>
        <v>No OOS</v>
      </c>
      <c r="W40" s="9" t="str">
        <f t="shared" si="5"/>
        <v>Week 2 of June</v>
      </c>
    </row>
    <row r="41" spans="1:23" x14ac:dyDescent="0.3">
      <c r="A41" s="5" t="s">
        <v>64</v>
      </c>
      <c r="B41" s="5" t="s">
        <v>73</v>
      </c>
      <c r="C41" s="5" t="s">
        <v>49</v>
      </c>
      <c r="D41" s="5" t="s">
        <v>28</v>
      </c>
      <c r="E41" s="5" t="s">
        <v>47</v>
      </c>
      <c r="F41" s="6">
        <v>46181</v>
      </c>
      <c r="G41" s="6">
        <v>46174</v>
      </c>
      <c r="H41" s="6">
        <v>46188</v>
      </c>
      <c r="I41" s="6">
        <v>46181</v>
      </c>
      <c r="J41" s="6">
        <v>46211</v>
      </c>
      <c r="K41" s="7">
        <f t="shared" si="6"/>
        <v>7</v>
      </c>
      <c r="L41" s="5" t="s">
        <v>30</v>
      </c>
      <c r="M41" s="5" t="s">
        <v>31</v>
      </c>
      <c r="N41" s="5" t="s">
        <v>32</v>
      </c>
      <c r="O41" s="5"/>
      <c r="P41" s="5" t="s">
        <v>37</v>
      </c>
      <c r="Q41" s="5" t="s">
        <v>58</v>
      </c>
      <c r="R41" s="5" t="s">
        <v>34</v>
      </c>
      <c r="S41" s="8" t="str">
        <f t="shared" si="7"/>
        <v>882|M9</v>
      </c>
      <c r="T41" s="9" t="str">
        <f t="shared" si="8"/>
        <v>Completed</v>
      </c>
      <c r="U41" s="9">
        <f t="shared" si="9"/>
        <v>2026</v>
      </c>
      <c r="V41" s="10" t="str">
        <f t="shared" si="10"/>
        <v>Closed</v>
      </c>
      <c r="W41" s="9" t="str">
        <f t="shared" si="5"/>
        <v>Week 2 of June</v>
      </c>
    </row>
    <row r="42" spans="1:23" x14ac:dyDescent="0.3">
      <c r="A42" s="11" t="s">
        <v>64</v>
      </c>
      <c r="B42" s="11" t="s">
        <v>73</v>
      </c>
      <c r="C42" s="11" t="s">
        <v>49</v>
      </c>
      <c r="D42" s="11" t="s">
        <v>45</v>
      </c>
      <c r="E42" s="11" t="s">
        <v>41</v>
      </c>
      <c r="F42" s="12">
        <v>46070</v>
      </c>
      <c r="G42" s="12">
        <v>46067</v>
      </c>
      <c r="H42" s="12">
        <v>46081</v>
      </c>
      <c r="I42" s="12">
        <v>46074</v>
      </c>
      <c r="J42" s="12">
        <v>46104</v>
      </c>
      <c r="K42" s="13">
        <f t="shared" si="6"/>
        <v>7</v>
      </c>
      <c r="L42" s="11" t="s">
        <v>30</v>
      </c>
      <c r="M42" s="11" t="s">
        <v>31</v>
      </c>
      <c r="N42" s="11" t="s">
        <v>44</v>
      </c>
      <c r="O42" s="11"/>
      <c r="P42" s="11" t="s">
        <v>54</v>
      </c>
      <c r="Q42" s="11" t="s">
        <v>58</v>
      </c>
      <c r="R42" s="11"/>
      <c r="S42" s="8" t="str">
        <f t="shared" si="7"/>
        <v>882|M18</v>
      </c>
      <c r="T42" s="9" t="str">
        <f t="shared" si="8"/>
        <v>Not Completed</v>
      </c>
      <c r="U42" s="9">
        <f t="shared" si="9"/>
        <v>2026</v>
      </c>
      <c r="V42" s="10" t="str">
        <f t="shared" si="10"/>
        <v>Closed</v>
      </c>
      <c r="W42" s="9" t="str">
        <f t="shared" si="5"/>
        <v>Week 3 of February</v>
      </c>
    </row>
    <row r="43" spans="1:23" x14ac:dyDescent="0.3">
      <c r="A43" s="5" t="s">
        <v>64</v>
      </c>
      <c r="B43" s="5" t="s">
        <v>73</v>
      </c>
      <c r="C43" s="5" t="s">
        <v>49</v>
      </c>
      <c r="D43" s="5" t="s">
        <v>38</v>
      </c>
      <c r="E43" s="5" t="s">
        <v>36</v>
      </c>
      <c r="F43" s="5"/>
      <c r="G43" s="5"/>
      <c r="H43" s="5"/>
      <c r="I43" s="5"/>
      <c r="J43" s="5"/>
      <c r="K43" s="5" t="str">
        <f t="shared" si="6"/>
        <v/>
      </c>
      <c r="L43" s="5"/>
      <c r="M43" s="5"/>
      <c r="N43" s="5"/>
      <c r="O43" s="5"/>
      <c r="P43" s="5" t="s">
        <v>33</v>
      </c>
      <c r="Q43" s="5"/>
      <c r="R43" s="5"/>
      <c r="S43" s="8" t="str">
        <f t="shared" si="7"/>
        <v>882|M24</v>
      </c>
      <c r="T43" s="9" t="str">
        <f t="shared" si="8"/>
        <v>Pending</v>
      </c>
      <c r="U43" s="9" t="str">
        <f t="shared" si="9"/>
        <v/>
      </c>
      <c r="V43" s="10" t="str">
        <f t="shared" si="10"/>
        <v>No OOS</v>
      </c>
      <c r="W43" s="9" t="str">
        <f t="shared" si="5"/>
        <v/>
      </c>
    </row>
    <row r="44" spans="1:23" x14ac:dyDescent="0.3">
      <c r="A44" s="11" t="s">
        <v>64</v>
      </c>
      <c r="B44" s="11" t="s">
        <v>73</v>
      </c>
      <c r="C44" s="11" t="s">
        <v>49</v>
      </c>
      <c r="D44" s="11" t="s">
        <v>62</v>
      </c>
      <c r="E44" s="11" t="s">
        <v>36</v>
      </c>
      <c r="F44" s="11"/>
      <c r="G44" s="11"/>
      <c r="H44" s="11"/>
      <c r="I44" s="11"/>
      <c r="J44" s="11"/>
      <c r="K44" s="11" t="str">
        <f t="shared" si="6"/>
        <v/>
      </c>
      <c r="L44" s="11"/>
      <c r="M44" s="11"/>
      <c r="N44" s="11"/>
      <c r="O44" s="11"/>
      <c r="P44" s="11" t="s">
        <v>33</v>
      </c>
      <c r="Q44" s="11"/>
      <c r="R44" s="11"/>
      <c r="S44" s="8" t="str">
        <f t="shared" si="7"/>
        <v>882|M6</v>
      </c>
      <c r="T44" s="9" t="str">
        <f t="shared" si="8"/>
        <v>Pending</v>
      </c>
      <c r="U44" s="9" t="str">
        <f t="shared" si="9"/>
        <v/>
      </c>
      <c r="V44" s="10" t="str">
        <f t="shared" si="10"/>
        <v>No OOS</v>
      </c>
      <c r="W44" s="9" t="str">
        <f t="shared" si="5"/>
        <v/>
      </c>
    </row>
    <row r="45" spans="1:23" x14ac:dyDescent="0.3">
      <c r="A45" s="5" t="s">
        <v>64</v>
      </c>
      <c r="B45" s="5" t="s">
        <v>73</v>
      </c>
      <c r="C45" s="5" t="s">
        <v>49</v>
      </c>
      <c r="D45" s="5" t="s">
        <v>50</v>
      </c>
      <c r="E45" s="5" t="s">
        <v>29</v>
      </c>
      <c r="F45" s="6">
        <v>46188</v>
      </c>
      <c r="G45" s="6">
        <v>46181</v>
      </c>
      <c r="H45" s="6">
        <v>46195</v>
      </c>
      <c r="I45" s="6">
        <v>46188</v>
      </c>
      <c r="J45" s="6">
        <v>46218</v>
      </c>
      <c r="K45" s="7">
        <f t="shared" si="6"/>
        <v>7</v>
      </c>
      <c r="L45" s="5" t="s">
        <v>30</v>
      </c>
      <c r="M45" s="5" t="s">
        <v>31</v>
      </c>
      <c r="N45" s="5"/>
      <c r="O45" s="5"/>
      <c r="P45" s="5" t="s">
        <v>33</v>
      </c>
      <c r="Q45" s="5"/>
      <c r="R45" s="5"/>
      <c r="S45" s="8" t="str">
        <f t="shared" si="7"/>
        <v>882|M36</v>
      </c>
      <c r="T45" s="9" t="str">
        <f t="shared" si="8"/>
        <v>Pending</v>
      </c>
      <c r="U45" s="9">
        <f t="shared" si="9"/>
        <v>2026</v>
      </c>
      <c r="V45" s="10" t="str">
        <f t="shared" si="10"/>
        <v>No OOS</v>
      </c>
      <c r="W45" s="9" t="str">
        <f t="shared" si="5"/>
        <v>Week 3 of June</v>
      </c>
    </row>
    <row r="46" spans="1:23" x14ac:dyDescent="0.3">
      <c r="A46" s="11" t="s">
        <v>74</v>
      </c>
      <c r="B46" s="11" t="s">
        <v>75</v>
      </c>
      <c r="C46" s="11" t="s">
        <v>52</v>
      </c>
      <c r="D46" s="11" t="s">
        <v>28</v>
      </c>
      <c r="E46" s="11" t="s">
        <v>29</v>
      </c>
      <c r="F46" s="12">
        <v>45758</v>
      </c>
      <c r="G46" s="12">
        <v>45753</v>
      </c>
      <c r="H46" s="12">
        <v>45767</v>
      </c>
      <c r="I46" s="12">
        <v>45760</v>
      </c>
      <c r="J46" s="12">
        <v>45790</v>
      </c>
      <c r="K46" s="13">
        <f t="shared" si="6"/>
        <v>7</v>
      </c>
      <c r="L46" s="11" t="s">
        <v>30</v>
      </c>
      <c r="M46" s="11" t="s">
        <v>31</v>
      </c>
      <c r="N46" s="11"/>
      <c r="O46" s="11"/>
      <c r="P46" s="11" t="s">
        <v>37</v>
      </c>
      <c r="Q46" s="11" t="s">
        <v>58</v>
      </c>
      <c r="R46" s="11"/>
      <c r="S46" s="8" t="str">
        <f t="shared" si="7"/>
        <v>896|M9</v>
      </c>
      <c r="T46" s="9" t="str">
        <f t="shared" si="8"/>
        <v>Pending</v>
      </c>
      <c r="U46" s="9">
        <f t="shared" si="9"/>
        <v>2025</v>
      </c>
      <c r="V46" s="10" t="str">
        <f t="shared" si="10"/>
        <v>Closed</v>
      </c>
      <c r="W46" s="9" t="str">
        <f t="shared" si="5"/>
        <v>Week 2 of April</v>
      </c>
    </row>
    <row r="47" spans="1:23" x14ac:dyDescent="0.3">
      <c r="A47" s="5" t="s">
        <v>74</v>
      </c>
      <c r="B47" s="5" t="s">
        <v>75</v>
      </c>
      <c r="C47" s="5" t="s">
        <v>52</v>
      </c>
      <c r="D47" s="5" t="s">
        <v>38</v>
      </c>
      <c r="E47" s="5" t="s">
        <v>41</v>
      </c>
      <c r="F47" s="6">
        <v>45797</v>
      </c>
      <c r="G47" s="6">
        <v>45796</v>
      </c>
      <c r="H47" s="6">
        <v>45810</v>
      </c>
      <c r="I47" s="6">
        <v>45803</v>
      </c>
      <c r="J47" s="6">
        <v>45833</v>
      </c>
      <c r="K47" s="7">
        <f t="shared" si="6"/>
        <v>7</v>
      </c>
      <c r="L47" s="5" t="s">
        <v>30</v>
      </c>
      <c r="M47" s="5" t="s">
        <v>31</v>
      </c>
      <c r="N47" s="5" t="s">
        <v>32</v>
      </c>
      <c r="O47" s="5"/>
      <c r="P47" s="5" t="s">
        <v>54</v>
      </c>
      <c r="Q47" s="5"/>
      <c r="R47" s="5" t="s">
        <v>34</v>
      </c>
      <c r="S47" s="8" t="str">
        <f t="shared" si="7"/>
        <v>896|M24</v>
      </c>
      <c r="T47" s="9" t="str">
        <f t="shared" si="8"/>
        <v>Completed</v>
      </c>
      <c r="U47" s="9">
        <f t="shared" si="9"/>
        <v>2025</v>
      </c>
      <c r="V47" s="10" t="str">
        <f t="shared" si="10"/>
        <v>Open</v>
      </c>
      <c r="W47" s="9" t="str">
        <f t="shared" si="5"/>
        <v>Week 4 of May</v>
      </c>
    </row>
    <row r="48" spans="1:23" x14ac:dyDescent="0.3">
      <c r="A48" s="11" t="s">
        <v>74</v>
      </c>
      <c r="B48" s="11" t="s">
        <v>75</v>
      </c>
      <c r="C48" s="11" t="s">
        <v>52</v>
      </c>
      <c r="D48" s="11" t="s">
        <v>35</v>
      </c>
      <c r="E48" s="11" t="s">
        <v>29</v>
      </c>
      <c r="F48" s="12">
        <v>46191</v>
      </c>
      <c r="G48" s="12">
        <v>46187</v>
      </c>
      <c r="H48" s="12">
        <v>46201</v>
      </c>
      <c r="I48" s="12">
        <v>46194</v>
      </c>
      <c r="J48" s="12">
        <v>46224</v>
      </c>
      <c r="K48" s="13">
        <f t="shared" si="6"/>
        <v>7</v>
      </c>
      <c r="L48" s="11" t="s">
        <v>30</v>
      </c>
      <c r="M48" s="11" t="s">
        <v>31</v>
      </c>
      <c r="N48" s="11" t="s">
        <v>44</v>
      </c>
      <c r="O48" s="11"/>
      <c r="P48" s="11" t="s">
        <v>33</v>
      </c>
      <c r="Q48" s="11"/>
      <c r="R48" s="11"/>
      <c r="S48" s="8" t="str">
        <f t="shared" si="7"/>
        <v>896|M3</v>
      </c>
      <c r="T48" s="9" t="str">
        <f t="shared" si="8"/>
        <v>Not Completed</v>
      </c>
      <c r="U48" s="9">
        <f t="shared" si="9"/>
        <v>2026</v>
      </c>
      <c r="V48" s="10" t="str">
        <f t="shared" si="10"/>
        <v>No OOS</v>
      </c>
      <c r="W48" s="9" t="str">
        <f t="shared" si="5"/>
        <v>Week 3 of June</v>
      </c>
    </row>
    <row r="49" spans="1:23" x14ac:dyDescent="0.3">
      <c r="A49" s="5" t="s">
        <v>74</v>
      </c>
      <c r="B49" s="5" t="s">
        <v>75</v>
      </c>
      <c r="C49" s="5" t="s">
        <v>52</v>
      </c>
      <c r="D49" s="5" t="s">
        <v>45</v>
      </c>
      <c r="E49" s="5" t="s">
        <v>41</v>
      </c>
      <c r="F49" s="6">
        <v>45771</v>
      </c>
      <c r="G49" s="6">
        <v>45776</v>
      </c>
      <c r="H49" s="6">
        <v>45790</v>
      </c>
      <c r="I49" s="6">
        <v>45783</v>
      </c>
      <c r="J49" s="6">
        <v>45813</v>
      </c>
      <c r="K49" s="7">
        <f t="shared" si="6"/>
        <v>7</v>
      </c>
      <c r="L49" s="5" t="s">
        <v>30</v>
      </c>
      <c r="M49" s="5" t="s">
        <v>31</v>
      </c>
      <c r="N49" s="5"/>
      <c r="O49" s="5"/>
      <c r="P49" s="5" t="s">
        <v>46</v>
      </c>
      <c r="Q49" s="5" t="s">
        <v>58</v>
      </c>
      <c r="R49" s="5"/>
      <c r="S49" s="8" t="str">
        <f t="shared" si="7"/>
        <v>896|M18</v>
      </c>
      <c r="T49" s="9" t="str">
        <f t="shared" si="8"/>
        <v>Pending</v>
      </c>
      <c r="U49" s="9">
        <f t="shared" si="9"/>
        <v>2025</v>
      </c>
      <c r="V49" s="10" t="str">
        <f t="shared" si="10"/>
        <v>Closed</v>
      </c>
      <c r="W49" s="9" t="str">
        <f t="shared" si="5"/>
        <v>Week 1 of May</v>
      </c>
    </row>
    <row r="50" spans="1:23" x14ac:dyDescent="0.3">
      <c r="A50" s="11" t="s">
        <v>74</v>
      </c>
      <c r="B50" s="11" t="s">
        <v>76</v>
      </c>
      <c r="C50" s="11" t="s">
        <v>52</v>
      </c>
      <c r="D50" s="11" t="s">
        <v>35</v>
      </c>
      <c r="E50" s="11" t="s">
        <v>36</v>
      </c>
      <c r="F50" s="12">
        <v>45883</v>
      </c>
      <c r="G50" s="12">
        <v>45876</v>
      </c>
      <c r="H50" s="12">
        <v>45890</v>
      </c>
      <c r="I50" s="12">
        <v>45883</v>
      </c>
      <c r="J50" s="12">
        <v>45913</v>
      </c>
      <c r="K50" s="13">
        <f t="shared" si="6"/>
        <v>7</v>
      </c>
      <c r="L50" s="11" t="s">
        <v>30</v>
      </c>
      <c r="M50" s="11" t="s">
        <v>31</v>
      </c>
      <c r="N50" s="11" t="s">
        <v>32</v>
      </c>
      <c r="O50" s="11"/>
      <c r="P50" s="11" t="s">
        <v>37</v>
      </c>
      <c r="Q50" s="11"/>
      <c r="R50" s="11" t="s">
        <v>34</v>
      </c>
      <c r="S50" s="8" t="str">
        <f t="shared" si="7"/>
        <v>907|M3</v>
      </c>
      <c r="T50" s="9" t="str">
        <f t="shared" si="8"/>
        <v>Completed</v>
      </c>
      <c r="U50" s="9">
        <f t="shared" si="9"/>
        <v>2025</v>
      </c>
      <c r="V50" s="10" t="str">
        <f t="shared" si="10"/>
        <v>Open</v>
      </c>
      <c r="W50" s="9" t="str">
        <f t="shared" si="5"/>
        <v>Week 2 of August</v>
      </c>
    </row>
    <row r="51" spans="1:23" x14ac:dyDescent="0.3">
      <c r="A51" s="5" t="s">
        <v>74</v>
      </c>
      <c r="B51" s="5" t="s">
        <v>76</v>
      </c>
      <c r="C51" s="5" t="s">
        <v>52</v>
      </c>
      <c r="D51" s="5" t="s">
        <v>62</v>
      </c>
      <c r="E51" s="5" t="s">
        <v>36</v>
      </c>
      <c r="F51" s="6">
        <v>45801</v>
      </c>
      <c r="G51" s="6">
        <v>45800</v>
      </c>
      <c r="H51" s="6">
        <v>45814</v>
      </c>
      <c r="I51" s="6">
        <v>45807</v>
      </c>
      <c r="J51" s="6">
        <v>45837</v>
      </c>
      <c r="K51" s="7">
        <f t="shared" si="6"/>
        <v>7</v>
      </c>
      <c r="L51" s="5" t="s">
        <v>30</v>
      </c>
      <c r="M51" s="5" t="s">
        <v>31</v>
      </c>
      <c r="N51" s="5"/>
      <c r="O51" s="5"/>
      <c r="P51" s="5" t="s">
        <v>33</v>
      </c>
      <c r="Q51" s="5"/>
      <c r="R51" s="5"/>
      <c r="S51" s="8" t="str">
        <f t="shared" si="7"/>
        <v>907|M6</v>
      </c>
      <c r="T51" s="9" t="str">
        <f t="shared" si="8"/>
        <v>Pending</v>
      </c>
      <c r="U51" s="9">
        <f t="shared" si="9"/>
        <v>2025</v>
      </c>
      <c r="V51" s="10" t="str">
        <f t="shared" si="10"/>
        <v>No OOS</v>
      </c>
      <c r="W51" s="9" t="str">
        <f t="shared" si="5"/>
        <v>Week 5 of May</v>
      </c>
    </row>
    <row r="52" spans="1:23" x14ac:dyDescent="0.3">
      <c r="A52" s="11" t="s">
        <v>74</v>
      </c>
      <c r="B52" s="11" t="s">
        <v>76</v>
      </c>
      <c r="C52" s="11" t="s">
        <v>52</v>
      </c>
      <c r="D52" s="11" t="s">
        <v>50</v>
      </c>
      <c r="E52" s="11" t="s">
        <v>36</v>
      </c>
      <c r="F52" s="12">
        <v>46000</v>
      </c>
      <c r="G52" s="12">
        <v>46007</v>
      </c>
      <c r="H52" s="12">
        <v>46021</v>
      </c>
      <c r="I52" s="12">
        <v>46014</v>
      </c>
      <c r="J52" s="12">
        <v>46044</v>
      </c>
      <c r="K52" s="13">
        <f t="shared" si="6"/>
        <v>7</v>
      </c>
      <c r="L52" s="11" t="s">
        <v>30</v>
      </c>
      <c r="M52" s="11" t="s">
        <v>31</v>
      </c>
      <c r="N52" s="11"/>
      <c r="O52" s="11"/>
      <c r="P52" s="11" t="s">
        <v>33</v>
      </c>
      <c r="Q52" s="11"/>
      <c r="R52" s="11"/>
      <c r="S52" s="8" t="str">
        <f t="shared" si="7"/>
        <v>907|M36</v>
      </c>
      <c r="T52" s="9" t="str">
        <f t="shared" si="8"/>
        <v>Pending</v>
      </c>
      <c r="U52" s="9">
        <f t="shared" si="9"/>
        <v>2025</v>
      </c>
      <c r="V52" s="10" t="str">
        <f t="shared" si="10"/>
        <v>No OOS</v>
      </c>
      <c r="W52" s="9" t="str">
        <f t="shared" si="5"/>
        <v>Week 4 of December</v>
      </c>
    </row>
    <row r="53" spans="1:23" x14ac:dyDescent="0.3">
      <c r="A53" s="5" t="s">
        <v>74</v>
      </c>
      <c r="B53" s="5" t="s">
        <v>77</v>
      </c>
      <c r="C53" s="5" t="s">
        <v>57</v>
      </c>
      <c r="D53" s="5" t="s">
        <v>35</v>
      </c>
      <c r="E53" s="5" t="s">
        <v>29</v>
      </c>
      <c r="F53" s="6">
        <v>45909</v>
      </c>
      <c r="G53" s="6">
        <v>45908</v>
      </c>
      <c r="H53" s="6">
        <v>45922</v>
      </c>
      <c r="I53" s="6">
        <v>45915</v>
      </c>
      <c r="J53" s="6">
        <v>45945</v>
      </c>
      <c r="K53" s="7">
        <f t="shared" si="6"/>
        <v>7</v>
      </c>
      <c r="L53" s="5" t="s">
        <v>30</v>
      </c>
      <c r="M53" s="5" t="s">
        <v>31</v>
      </c>
      <c r="N53" s="5"/>
      <c r="O53" s="5"/>
      <c r="P53" s="5" t="s">
        <v>33</v>
      </c>
      <c r="Q53" s="5"/>
      <c r="R53" s="5"/>
      <c r="S53" s="8" t="str">
        <f t="shared" si="7"/>
        <v>927|M3</v>
      </c>
      <c r="T53" s="9" t="str">
        <f t="shared" si="8"/>
        <v>Pending</v>
      </c>
      <c r="U53" s="9">
        <f t="shared" si="9"/>
        <v>2025</v>
      </c>
      <c r="V53" s="10" t="str">
        <f t="shared" si="10"/>
        <v>No OOS</v>
      </c>
      <c r="W53" s="9" t="str">
        <f t="shared" si="5"/>
        <v>Week 3 of September</v>
      </c>
    </row>
    <row r="54" spans="1:23" x14ac:dyDescent="0.3">
      <c r="A54" s="11" t="s">
        <v>74</v>
      </c>
      <c r="B54" s="11" t="s">
        <v>77</v>
      </c>
      <c r="C54" s="11" t="s">
        <v>57</v>
      </c>
      <c r="D54" s="11" t="s">
        <v>45</v>
      </c>
      <c r="E54" s="11" t="s">
        <v>47</v>
      </c>
      <c r="F54" s="12">
        <v>46083</v>
      </c>
      <c r="G54" s="12">
        <v>46087</v>
      </c>
      <c r="H54" s="12">
        <v>46101</v>
      </c>
      <c r="I54" s="12">
        <v>46094</v>
      </c>
      <c r="J54" s="12">
        <v>46124</v>
      </c>
      <c r="K54" s="13">
        <f t="shared" si="6"/>
        <v>7</v>
      </c>
      <c r="L54" s="11" t="s">
        <v>30</v>
      </c>
      <c r="M54" s="11" t="s">
        <v>31</v>
      </c>
      <c r="N54" s="11" t="s">
        <v>44</v>
      </c>
      <c r="O54" s="11"/>
      <c r="P54" s="11" t="s">
        <v>61</v>
      </c>
      <c r="Q54" s="11"/>
      <c r="R54" s="11"/>
      <c r="S54" s="8" t="str">
        <f t="shared" si="7"/>
        <v>927|M18</v>
      </c>
      <c r="T54" s="9" t="str">
        <f t="shared" si="8"/>
        <v>Not Completed</v>
      </c>
      <c r="U54" s="9">
        <f t="shared" si="9"/>
        <v>2026</v>
      </c>
      <c r="V54" s="10" t="str">
        <f t="shared" si="10"/>
        <v>Open</v>
      </c>
      <c r="W54" s="9" t="str">
        <f t="shared" si="5"/>
        <v>Week 2 of March</v>
      </c>
    </row>
    <row r="55" spans="1:23" x14ac:dyDescent="0.3">
      <c r="A55" s="5" t="s">
        <v>74</v>
      </c>
      <c r="B55" s="5" t="s">
        <v>77</v>
      </c>
      <c r="C55" s="5" t="s">
        <v>57</v>
      </c>
      <c r="D55" s="5" t="s">
        <v>62</v>
      </c>
      <c r="E55" s="5" t="s">
        <v>41</v>
      </c>
      <c r="F55" s="6">
        <v>46141</v>
      </c>
      <c r="G55" s="6">
        <v>46143</v>
      </c>
      <c r="H55" s="6">
        <v>46157</v>
      </c>
      <c r="I55" s="6">
        <v>46150</v>
      </c>
      <c r="J55" s="6">
        <v>46180</v>
      </c>
      <c r="K55" s="7">
        <f t="shared" si="6"/>
        <v>7</v>
      </c>
      <c r="L55" s="5" t="s">
        <v>30</v>
      </c>
      <c r="M55" s="5" t="s">
        <v>31</v>
      </c>
      <c r="N55" s="5"/>
      <c r="O55" s="5"/>
      <c r="P55" s="5" t="s">
        <v>46</v>
      </c>
      <c r="Q55" s="5"/>
      <c r="R55" s="5"/>
      <c r="S55" s="8" t="str">
        <f t="shared" si="7"/>
        <v>927|M6</v>
      </c>
      <c r="T55" s="9" t="str">
        <f t="shared" si="8"/>
        <v>Pending</v>
      </c>
      <c r="U55" s="9">
        <f t="shared" si="9"/>
        <v>2026</v>
      </c>
      <c r="V55" s="10" t="str">
        <f t="shared" si="10"/>
        <v>Open</v>
      </c>
      <c r="W55" s="9" t="str">
        <f t="shared" si="5"/>
        <v>Week 2 of May</v>
      </c>
    </row>
    <row r="56" spans="1:23" x14ac:dyDescent="0.3">
      <c r="A56" s="11" t="s">
        <v>74</v>
      </c>
      <c r="B56" s="11" t="s">
        <v>77</v>
      </c>
      <c r="C56" s="11" t="s">
        <v>57</v>
      </c>
      <c r="D56" s="11" t="s">
        <v>40</v>
      </c>
      <c r="E56" s="11" t="s">
        <v>36</v>
      </c>
      <c r="F56" s="12">
        <v>46140</v>
      </c>
      <c r="G56" s="12">
        <v>46147</v>
      </c>
      <c r="H56" s="12">
        <v>46161</v>
      </c>
      <c r="I56" s="12">
        <v>46154</v>
      </c>
      <c r="J56" s="12">
        <v>46184</v>
      </c>
      <c r="K56" s="13">
        <f t="shared" si="6"/>
        <v>7</v>
      </c>
      <c r="L56" s="11" t="s">
        <v>30</v>
      </c>
      <c r="M56" s="11" t="s">
        <v>31</v>
      </c>
      <c r="N56" s="11" t="s">
        <v>44</v>
      </c>
      <c r="O56" s="11"/>
      <c r="P56" s="11" t="s">
        <v>33</v>
      </c>
      <c r="Q56" s="11"/>
      <c r="R56" s="11"/>
      <c r="S56" s="8" t="str">
        <f t="shared" si="7"/>
        <v>927|M12</v>
      </c>
      <c r="T56" s="9" t="str">
        <f t="shared" si="8"/>
        <v>Not Completed</v>
      </c>
      <c r="U56" s="9">
        <f t="shared" si="9"/>
        <v>2026</v>
      </c>
      <c r="V56" s="10" t="str">
        <f t="shared" si="10"/>
        <v>No OOS</v>
      </c>
      <c r="W56" s="9" t="str">
        <f t="shared" si="5"/>
        <v>Week 2 of May</v>
      </c>
    </row>
    <row r="57" spans="1:23" x14ac:dyDescent="0.3">
      <c r="A57" s="5" t="s">
        <v>74</v>
      </c>
      <c r="B57" s="5" t="s">
        <v>77</v>
      </c>
      <c r="C57" s="5" t="s">
        <v>57</v>
      </c>
      <c r="D57" s="5" t="s">
        <v>38</v>
      </c>
      <c r="E57" s="5" t="s">
        <v>29</v>
      </c>
      <c r="F57" s="6">
        <v>45918</v>
      </c>
      <c r="G57" s="6">
        <v>45912</v>
      </c>
      <c r="H57" s="6">
        <v>45926</v>
      </c>
      <c r="I57" s="6">
        <v>45919</v>
      </c>
      <c r="J57" s="6">
        <v>45949</v>
      </c>
      <c r="K57" s="7">
        <f t="shared" si="6"/>
        <v>7</v>
      </c>
      <c r="L57" s="5" t="s">
        <v>30</v>
      </c>
      <c r="M57" s="5" t="s">
        <v>31</v>
      </c>
      <c r="N57" s="5" t="s">
        <v>44</v>
      </c>
      <c r="O57" s="5"/>
      <c r="P57" s="5" t="s">
        <v>61</v>
      </c>
      <c r="Q57" s="5"/>
      <c r="R57" s="5"/>
      <c r="S57" s="8" t="str">
        <f t="shared" si="7"/>
        <v>927|M24</v>
      </c>
      <c r="T57" s="9" t="str">
        <f t="shared" si="8"/>
        <v>Not Completed</v>
      </c>
      <c r="U57" s="9">
        <f t="shared" si="9"/>
        <v>2025</v>
      </c>
      <c r="V57" s="10" t="str">
        <f t="shared" si="10"/>
        <v>Open</v>
      </c>
      <c r="W57" s="9" t="str">
        <f t="shared" si="5"/>
        <v>Week 3 of September</v>
      </c>
    </row>
    <row r="58" spans="1:23" x14ac:dyDescent="0.3">
      <c r="A58" s="11" t="s">
        <v>78</v>
      </c>
      <c r="B58" s="11" t="s">
        <v>79</v>
      </c>
      <c r="C58" s="11" t="s">
        <v>80</v>
      </c>
      <c r="D58" s="11" t="s">
        <v>50</v>
      </c>
      <c r="E58" s="11" t="s">
        <v>29</v>
      </c>
      <c r="F58" s="12">
        <v>46104</v>
      </c>
      <c r="G58" s="12">
        <v>46108</v>
      </c>
      <c r="H58" s="12">
        <v>46122</v>
      </c>
      <c r="I58" s="12">
        <v>46115</v>
      </c>
      <c r="J58" s="12">
        <v>46145</v>
      </c>
      <c r="K58" s="13">
        <f t="shared" si="6"/>
        <v>7</v>
      </c>
      <c r="L58" s="11" t="s">
        <v>30</v>
      </c>
      <c r="M58" s="11" t="s">
        <v>31</v>
      </c>
      <c r="N58" s="11"/>
      <c r="O58" s="11"/>
      <c r="P58" s="11" t="s">
        <v>54</v>
      </c>
      <c r="Q58" s="11"/>
      <c r="R58" s="11"/>
      <c r="S58" s="8" t="str">
        <f t="shared" si="7"/>
        <v>943|M36</v>
      </c>
      <c r="T58" s="9" t="str">
        <f t="shared" si="8"/>
        <v>Pending</v>
      </c>
      <c r="U58" s="9">
        <f t="shared" si="9"/>
        <v>2026</v>
      </c>
      <c r="V58" s="10" t="str">
        <f t="shared" si="10"/>
        <v>Open</v>
      </c>
      <c r="W58" s="9" t="str">
        <f t="shared" si="5"/>
        <v>Week 1 of April</v>
      </c>
    </row>
    <row r="59" spans="1:23" x14ac:dyDescent="0.3">
      <c r="A59" s="5" t="s">
        <v>78</v>
      </c>
      <c r="B59" s="5" t="s">
        <v>79</v>
      </c>
      <c r="C59" s="5" t="s">
        <v>80</v>
      </c>
      <c r="D59" s="5" t="s">
        <v>28</v>
      </c>
      <c r="E59" s="5" t="s">
        <v>41</v>
      </c>
      <c r="F59" s="5"/>
      <c r="G59" s="5"/>
      <c r="H59" s="5"/>
      <c r="I59" s="5"/>
      <c r="J59" s="5"/>
      <c r="K59" s="5" t="str">
        <f t="shared" si="6"/>
        <v/>
      </c>
      <c r="L59" s="5"/>
      <c r="M59" s="5"/>
      <c r="N59" s="5"/>
      <c r="O59" s="5"/>
      <c r="P59" s="5" t="s">
        <v>37</v>
      </c>
      <c r="Q59" s="5"/>
      <c r="R59" s="5" t="s">
        <v>34</v>
      </c>
      <c r="S59" s="8" t="str">
        <f t="shared" si="7"/>
        <v>943|M9</v>
      </c>
      <c r="T59" s="9" t="str">
        <f t="shared" si="8"/>
        <v>Pending</v>
      </c>
      <c r="U59" s="9" t="str">
        <f t="shared" si="9"/>
        <v/>
      </c>
      <c r="V59" s="10" t="str">
        <f t="shared" si="10"/>
        <v>Open</v>
      </c>
      <c r="W59" s="9" t="str">
        <f t="shared" si="5"/>
        <v/>
      </c>
    </row>
    <row r="60" spans="1:23" x14ac:dyDescent="0.3">
      <c r="A60" s="11" t="s">
        <v>78</v>
      </c>
      <c r="B60" s="11" t="s">
        <v>79</v>
      </c>
      <c r="C60" s="11" t="s">
        <v>80</v>
      </c>
      <c r="D60" s="11" t="s">
        <v>45</v>
      </c>
      <c r="E60" s="11" t="s">
        <v>41</v>
      </c>
      <c r="F60" s="12">
        <v>46181</v>
      </c>
      <c r="G60" s="12">
        <v>46175</v>
      </c>
      <c r="H60" s="12">
        <v>46189</v>
      </c>
      <c r="I60" s="12">
        <v>46182</v>
      </c>
      <c r="J60" s="12">
        <v>46212</v>
      </c>
      <c r="K60" s="13">
        <f t="shared" si="6"/>
        <v>7</v>
      </c>
      <c r="L60" s="11" t="s">
        <v>30</v>
      </c>
      <c r="M60" s="11" t="s">
        <v>31</v>
      </c>
      <c r="N60" s="11"/>
      <c r="O60" s="11"/>
      <c r="P60" s="11" t="s">
        <v>33</v>
      </c>
      <c r="Q60" s="11"/>
      <c r="R60" s="11"/>
      <c r="S60" s="8" t="str">
        <f t="shared" si="7"/>
        <v>943|M18</v>
      </c>
      <c r="T60" s="9" t="str">
        <f t="shared" si="8"/>
        <v>Pending</v>
      </c>
      <c r="U60" s="9">
        <f t="shared" si="9"/>
        <v>2026</v>
      </c>
      <c r="V60" s="10" t="str">
        <f t="shared" si="10"/>
        <v>No OOS</v>
      </c>
      <c r="W60" s="9" t="str">
        <f t="shared" si="5"/>
        <v>Week 2 of June</v>
      </c>
    </row>
    <row r="61" spans="1:23" x14ac:dyDescent="0.3">
      <c r="A61" s="5" t="s">
        <v>78</v>
      </c>
      <c r="B61" s="5" t="s">
        <v>81</v>
      </c>
      <c r="C61" s="5" t="s">
        <v>52</v>
      </c>
      <c r="D61" s="5" t="s">
        <v>50</v>
      </c>
      <c r="E61" s="5" t="s">
        <v>29</v>
      </c>
      <c r="F61" s="6">
        <v>46021</v>
      </c>
      <c r="G61" s="6">
        <v>46021</v>
      </c>
      <c r="H61" s="6">
        <v>46035</v>
      </c>
      <c r="I61" s="6">
        <v>46028</v>
      </c>
      <c r="J61" s="6">
        <v>46058</v>
      </c>
      <c r="K61" s="7">
        <f t="shared" si="6"/>
        <v>7</v>
      </c>
      <c r="L61" s="5" t="s">
        <v>30</v>
      </c>
      <c r="M61" s="5" t="s">
        <v>31</v>
      </c>
      <c r="N61" s="5" t="s">
        <v>44</v>
      </c>
      <c r="O61" s="5"/>
      <c r="P61" s="5" t="s">
        <v>54</v>
      </c>
      <c r="Q61" s="5"/>
      <c r="R61" s="5"/>
      <c r="S61" s="8" t="str">
        <f t="shared" si="7"/>
        <v>963|M36</v>
      </c>
      <c r="T61" s="9" t="str">
        <f t="shared" si="8"/>
        <v>Not Completed</v>
      </c>
      <c r="U61" s="9">
        <f t="shared" si="9"/>
        <v>2026</v>
      </c>
      <c r="V61" s="10" t="str">
        <f t="shared" si="10"/>
        <v>Open</v>
      </c>
      <c r="W61" s="9" t="str">
        <f t="shared" si="5"/>
        <v>Week 1 of January</v>
      </c>
    </row>
    <row r="62" spans="1:23" x14ac:dyDescent="0.3">
      <c r="A62" s="11" t="s">
        <v>78</v>
      </c>
      <c r="B62" s="11" t="s">
        <v>81</v>
      </c>
      <c r="C62" s="11" t="s">
        <v>52</v>
      </c>
      <c r="D62" s="11" t="s">
        <v>40</v>
      </c>
      <c r="E62" s="11" t="s">
        <v>36</v>
      </c>
      <c r="F62" s="12">
        <v>46138</v>
      </c>
      <c r="G62" s="12">
        <v>46139</v>
      </c>
      <c r="H62" s="12">
        <v>46153</v>
      </c>
      <c r="I62" s="12">
        <v>46146</v>
      </c>
      <c r="J62" s="12">
        <v>46176</v>
      </c>
      <c r="K62" s="13">
        <f t="shared" si="6"/>
        <v>7</v>
      </c>
      <c r="L62" s="11" t="s">
        <v>30</v>
      </c>
      <c r="M62" s="11" t="s">
        <v>31</v>
      </c>
      <c r="N62" s="11"/>
      <c r="O62" s="11"/>
      <c r="P62" s="11" t="s">
        <v>33</v>
      </c>
      <c r="Q62" s="11"/>
      <c r="R62" s="11"/>
      <c r="S62" s="8" t="str">
        <f t="shared" si="7"/>
        <v>963|M12</v>
      </c>
      <c r="T62" s="9" t="str">
        <f t="shared" si="8"/>
        <v>Pending</v>
      </c>
      <c r="U62" s="9">
        <f t="shared" si="9"/>
        <v>2026</v>
      </c>
      <c r="V62" s="10" t="str">
        <f t="shared" si="10"/>
        <v>No OOS</v>
      </c>
      <c r="W62" s="9" t="str">
        <f t="shared" si="5"/>
        <v>Week 1 of May</v>
      </c>
    </row>
    <row r="63" spans="1:23" x14ac:dyDescent="0.3">
      <c r="A63" s="5" t="s">
        <v>78</v>
      </c>
      <c r="B63" s="5" t="s">
        <v>81</v>
      </c>
      <c r="C63" s="5" t="s">
        <v>52</v>
      </c>
      <c r="D63" s="5" t="s">
        <v>45</v>
      </c>
      <c r="E63" s="5" t="s">
        <v>47</v>
      </c>
      <c r="F63" s="6">
        <v>45864</v>
      </c>
      <c r="G63" s="6">
        <v>45861</v>
      </c>
      <c r="H63" s="6">
        <v>45875</v>
      </c>
      <c r="I63" s="6">
        <v>45868</v>
      </c>
      <c r="J63" s="6">
        <v>45898</v>
      </c>
      <c r="K63" s="7">
        <f t="shared" si="6"/>
        <v>7</v>
      </c>
      <c r="L63" s="5" t="s">
        <v>30</v>
      </c>
      <c r="M63" s="5" t="s">
        <v>31</v>
      </c>
      <c r="N63" s="5"/>
      <c r="O63" s="5"/>
      <c r="P63" s="5" t="s">
        <v>46</v>
      </c>
      <c r="Q63" s="5" t="s">
        <v>58</v>
      </c>
      <c r="R63" s="5"/>
      <c r="S63" s="8" t="str">
        <f t="shared" si="7"/>
        <v>963|M18</v>
      </c>
      <c r="T63" s="9" t="str">
        <f t="shared" si="8"/>
        <v>Pending</v>
      </c>
      <c r="U63" s="9">
        <f t="shared" si="9"/>
        <v>2025</v>
      </c>
      <c r="V63" s="10" t="str">
        <f t="shared" si="10"/>
        <v>Closed</v>
      </c>
      <c r="W63" s="9" t="str">
        <f t="shared" si="5"/>
        <v>Week 5 of July</v>
      </c>
    </row>
    <row r="64" spans="1:23" x14ac:dyDescent="0.3">
      <c r="A64" s="11" t="s">
        <v>78</v>
      </c>
      <c r="B64" s="11" t="s">
        <v>81</v>
      </c>
      <c r="C64" s="11" t="s">
        <v>52</v>
      </c>
      <c r="D64" s="11" t="s">
        <v>38</v>
      </c>
      <c r="E64" s="11" t="s">
        <v>41</v>
      </c>
      <c r="F64" s="12">
        <v>46101</v>
      </c>
      <c r="G64" s="12">
        <v>46096</v>
      </c>
      <c r="H64" s="12">
        <v>46110</v>
      </c>
      <c r="I64" s="12">
        <v>46103</v>
      </c>
      <c r="J64" s="12">
        <v>46133</v>
      </c>
      <c r="K64" s="13">
        <f t="shared" si="6"/>
        <v>7</v>
      </c>
      <c r="L64" s="11" t="s">
        <v>30</v>
      </c>
      <c r="M64" s="11" t="s">
        <v>31</v>
      </c>
      <c r="N64" s="11" t="s">
        <v>44</v>
      </c>
      <c r="O64" s="11"/>
      <c r="P64" s="11" t="s">
        <v>33</v>
      </c>
      <c r="Q64" s="11"/>
      <c r="R64" s="11"/>
      <c r="S64" s="8" t="str">
        <f t="shared" si="7"/>
        <v>963|M24</v>
      </c>
      <c r="T64" s="9" t="str">
        <f t="shared" si="8"/>
        <v>Not Completed</v>
      </c>
      <c r="U64" s="9">
        <f t="shared" si="9"/>
        <v>2026</v>
      </c>
      <c r="V64" s="10" t="str">
        <f t="shared" si="10"/>
        <v>No OOS</v>
      </c>
      <c r="W64" s="9" t="str">
        <f t="shared" si="5"/>
        <v>Week 4 of March</v>
      </c>
    </row>
    <row r="65" spans="1:23" x14ac:dyDescent="0.3">
      <c r="A65" s="5" t="s">
        <v>78</v>
      </c>
      <c r="B65" s="5" t="s">
        <v>81</v>
      </c>
      <c r="C65" s="5" t="s">
        <v>52</v>
      </c>
      <c r="D65" s="5" t="s">
        <v>28</v>
      </c>
      <c r="E65" s="5" t="s">
        <v>47</v>
      </c>
      <c r="F65" s="6">
        <v>45960</v>
      </c>
      <c r="G65" s="6">
        <v>45953</v>
      </c>
      <c r="H65" s="6">
        <v>45967</v>
      </c>
      <c r="I65" s="6">
        <v>45960</v>
      </c>
      <c r="J65" s="6">
        <v>45990</v>
      </c>
      <c r="K65" s="7">
        <f t="shared" si="6"/>
        <v>7</v>
      </c>
      <c r="L65" s="5" t="s">
        <v>30</v>
      </c>
      <c r="M65" s="5" t="s">
        <v>31</v>
      </c>
      <c r="N65" s="5" t="s">
        <v>44</v>
      </c>
      <c r="O65" s="5" t="s">
        <v>82</v>
      </c>
      <c r="P65" s="5" t="s">
        <v>37</v>
      </c>
      <c r="Q65" s="5"/>
      <c r="R65" s="5"/>
      <c r="S65" s="8" t="str">
        <f t="shared" si="7"/>
        <v>963|M9</v>
      </c>
      <c r="T65" s="9" t="str">
        <f t="shared" si="8"/>
        <v>Not Completed</v>
      </c>
      <c r="U65" s="9">
        <f t="shared" si="9"/>
        <v>2025</v>
      </c>
      <c r="V65" s="10" t="str">
        <f t="shared" si="10"/>
        <v>Open</v>
      </c>
      <c r="W65" s="9" t="str">
        <f t="shared" si="5"/>
        <v>Week 5 of October</v>
      </c>
    </row>
    <row r="66" spans="1:23" x14ac:dyDescent="0.3">
      <c r="A66" s="11" t="s">
        <v>83</v>
      </c>
      <c r="B66" s="11" t="s">
        <v>84</v>
      </c>
      <c r="C66" s="11" t="s">
        <v>85</v>
      </c>
      <c r="D66" s="11" t="s">
        <v>45</v>
      </c>
      <c r="E66" s="11" t="s">
        <v>41</v>
      </c>
      <c r="F66" s="12">
        <v>46169</v>
      </c>
      <c r="G66" s="12">
        <v>46168</v>
      </c>
      <c r="H66" s="12">
        <v>46182</v>
      </c>
      <c r="I66" s="12">
        <v>46175</v>
      </c>
      <c r="J66" s="12">
        <v>46205</v>
      </c>
      <c r="K66" s="13">
        <f t="shared" si="6"/>
        <v>7</v>
      </c>
      <c r="L66" s="11" t="s">
        <v>30</v>
      </c>
      <c r="M66" s="11" t="s">
        <v>31</v>
      </c>
      <c r="N66" s="11"/>
      <c r="O66" s="11"/>
      <c r="P66" s="11" t="s">
        <v>33</v>
      </c>
      <c r="Q66" s="11"/>
      <c r="R66" s="11"/>
      <c r="S66" s="8" t="str">
        <f t="shared" si="7"/>
        <v>979|M18</v>
      </c>
      <c r="T66" s="9" t="str">
        <f t="shared" si="8"/>
        <v>Pending</v>
      </c>
      <c r="U66" s="9">
        <f t="shared" si="9"/>
        <v>2026</v>
      </c>
      <c r="V66" s="10" t="str">
        <f t="shared" si="10"/>
        <v>No OOS</v>
      </c>
      <c r="W66" s="9" t="str">
        <f t="shared" si="5"/>
        <v>Week 1 of June</v>
      </c>
    </row>
    <row r="67" spans="1:23" x14ac:dyDescent="0.3">
      <c r="A67" s="5" t="s">
        <v>83</v>
      </c>
      <c r="B67" s="5" t="s">
        <v>84</v>
      </c>
      <c r="C67" s="5" t="s">
        <v>85</v>
      </c>
      <c r="D67" s="5" t="s">
        <v>62</v>
      </c>
      <c r="E67" s="5" t="s">
        <v>41</v>
      </c>
      <c r="F67" s="6">
        <v>45756</v>
      </c>
      <c r="G67" s="6">
        <v>45755</v>
      </c>
      <c r="H67" s="6">
        <v>45769</v>
      </c>
      <c r="I67" s="6">
        <v>45762</v>
      </c>
      <c r="J67" s="6">
        <v>45792</v>
      </c>
      <c r="K67" s="7">
        <f t="shared" si="6"/>
        <v>7</v>
      </c>
      <c r="L67" s="5" t="s">
        <v>30</v>
      </c>
      <c r="M67" s="5" t="s">
        <v>31</v>
      </c>
      <c r="N67" s="5"/>
      <c r="O67" s="5" t="s">
        <v>86</v>
      </c>
      <c r="P67" s="5" t="s">
        <v>37</v>
      </c>
      <c r="Q67" s="5" t="s">
        <v>58</v>
      </c>
      <c r="R67" s="5"/>
      <c r="S67" s="8" t="str">
        <f t="shared" si="7"/>
        <v>979|M6</v>
      </c>
      <c r="T67" s="9" t="str">
        <f t="shared" si="8"/>
        <v>Pending</v>
      </c>
      <c r="U67" s="9">
        <f t="shared" si="9"/>
        <v>2025</v>
      </c>
      <c r="V67" s="10" t="str">
        <f t="shared" si="10"/>
        <v>Closed</v>
      </c>
      <c r="W67" s="9" t="str">
        <f t="shared" si="5"/>
        <v>Week 3 of April</v>
      </c>
    </row>
    <row r="68" spans="1:23" x14ac:dyDescent="0.3">
      <c r="A68" s="11" t="s">
        <v>83</v>
      </c>
      <c r="B68" s="11" t="s">
        <v>84</v>
      </c>
      <c r="C68" s="11" t="s">
        <v>85</v>
      </c>
      <c r="D68" s="11" t="s">
        <v>28</v>
      </c>
      <c r="E68" s="11" t="s">
        <v>47</v>
      </c>
      <c r="F68" s="12">
        <v>45940</v>
      </c>
      <c r="G68" s="12">
        <v>45942</v>
      </c>
      <c r="H68" s="12">
        <v>45956</v>
      </c>
      <c r="I68" s="12">
        <v>45949</v>
      </c>
      <c r="J68" s="12">
        <v>45979</v>
      </c>
      <c r="K68" s="13">
        <f t="shared" si="6"/>
        <v>7</v>
      </c>
      <c r="L68" s="11" t="s">
        <v>30</v>
      </c>
      <c r="M68" s="11" t="s">
        <v>31</v>
      </c>
      <c r="N68" s="11"/>
      <c r="O68" s="11"/>
      <c r="P68" s="11" t="s">
        <v>33</v>
      </c>
      <c r="Q68" s="11"/>
      <c r="R68" s="11"/>
      <c r="S68" s="8" t="str">
        <f t="shared" si="7"/>
        <v>979|M9</v>
      </c>
      <c r="T68" s="9" t="str">
        <f t="shared" si="8"/>
        <v>Pending</v>
      </c>
      <c r="U68" s="9">
        <f t="shared" si="9"/>
        <v>2025</v>
      </c>
      <c r="V68" s="10" t="str">
        <f t="shared" si="10"/>
        <v>No OOS</v>
      </c>
      <c r="W68" s="9" t="str">
        <f t="shared" si="5"/>
        <v>Week 3 of October</v>
      </c>
    </row>
    <row r="69" spans="1:23" x14ac:dyDescent="0.3">
      <c r="A69" s="5" t="s">
        <v>83</v>
      </c>
      <c r="B69" s="5" t="s">
        <v>87</v>
      </c>
      <c r="C69" s="5" t="s">
        <v>70</v>
      </c>
      <c r="D69" s="5" t="s">
        <v>39</v>
      </c>
      <c r="E69" s="5" t="s">
        <v>41</v>
      </c>
      <c r="F69" s="6">
        <v>45910</v>
      </c>
      <c r="G69" s="6">
        <v>45908</v>
      </c>
      <c r="H69" s="6">
        <v>45922</v>
      </c>
      <c r="I69" s="6">
        <v>45915</v>
      </c>
      <c r="J69" s="6">
        <v>45945</v>
      </c>
      <c r="K69" s="7">
        <f t="shared" ref="K69:K100" si="11">IF(I69="","",I69-G69)</f>
        <v>7</v>
      </c>
      <c r="L69" s="5" t="s">
        <v>30</v>
      </c>
      <c r="M69" s="5" t="s">
        <v>31</v>
      </c>
      <c r="N69" s="5"/>
      <c r="O69" s="5"/>
      <c r="P69" s="5" t="s">
        <v>61</v>
      </c>
      <c r="Q69" s="5" t="s">
        <v>58</v>
      </c>
      <c r="R69" s="5"/>
      <c r="S69" s="8" t="str">
        <f t="shared" ref="S69:S100" si="12">TRIM(CLEAN(B69))&amp;"|"&amp;TRIM(CLEAN(D69))</f>
        <v>994|M1</v>
      </c>
      <c r="T69" s="9" t="str">
        <f t="shared" ref="T69:T100" si="13">IF(N69="","Pending",N69)</f>
        <v>Pending</v>
      </c>
      <c r="U69" s="9">
        <f t="shared" ref="U69:U100" si="14">IF(I69="","",YEAR(I69))</f>
        <v>2025</v>
      </c>
      <c r="V69" s="10" t="str">
        <f t="shared" ref="V69:V100" si="15">IF(P69="N/A","No OOS",IF(ISNUMBER(FIND("OOS Closed",Q69)),"Closed","Open"))</f>
        <v>Closed</v>
      </c>
      <c r="W69" s="9" t="str">
        <f t="shared" si="5"/>
        <v>Week 3 of September</v>
      </c>
    </row>
    <row r="70" spans="1:23" x14ac:dyDescent="0.3">
      <c r="A70" s="11" t="s">
        <v>83</v>
      </c>
      <c r="B70" s="11" t="s">
        <v>87</v>
      </c>
      <c r="C70" s="11" t="s">
        <v>70</v>
      </c>
      <c r="D70" s="11" t="s">
        <v>62</v>
      </c>
      <c r="E70" s="11" t="s">
        <v>36</v>
      </c>
      <c r="F70" s="11"/>
      <c r="G70" s="11"/>
      <c r="H70" s="11"/>
      <c r="I70" s="11"/>
      <c r="J70" s="11"/>
      <c r="K70" s="11" t="str">
        <f t="shared" si="11"/>
        <v/>
      </c>
      <c r="L70" s="11"/>
      <c r="M70" s="11"/>
      <c r="N70" s="11"/>
      <c r="O70" s="11"/>
      <c r="P70" s="11" t="s">
        <v>33</v>
      </c>
      <c r="Q70" s="11"/>
      <c r="R70" s="11" t="s">
        <v>34</v>
      </c>
      <c r="S70" s="8" t="str">
        <f t="shared" si="12"/>
        <v>994|M6</v>
      </c>
      <c r="T70" s="9" t="str">
        <f t="shared" si="13"/>
        <v>Pending</v>
      </c>
      <c r="U70" s="9" t="str">
        <f t="shared" si="14"/>
        <v/>
      </c>
      <c r="V70" s="10" t="str">
        <f t="shared" si="15"/>
        <v>No OOS</v>
      </c>
      <c r="W70" s="9" t="str">
        <f t="shared" ref="W70:W114" si="16">IF(I70="", "", "Week " &amp; INT((DAY(I70)-1)/7)+1 &amp; " of " &amp; TEXT(I70, "mmmm"))</f>
        <v/>
      </c>
    </row>
    <row r="71" spans="1:23" x14ac:dyDescent="0.3">
      <c r="A71" s="5" t="s">
        <v>83</v>
      </c>
      <c r="B71" s="5" t="s">
        <v>87</v>
      </c>
      <c r="C71" s="5" t="s">
        <v>70</v>
      </c>
      <c r="D71" s="5" t="s">
        <v>28</v>
      </c>
      <c r="E71" s="5" t="s">
        <v>29</v>
      </c>
      <c r="F71" s="5"/>
      <c r="G71" s="5"/>
      <c r="H71" s="5"/>
      <c r="I71" s="5"/>
      <c r="J71" s="5"/>
      <c r="K71" s="5" t="str">
        <f t="shared" si="11"/>
        <v/>
      </c>
      <c r="L71" s="5"/>
      <c r="M71" s="5"/>
      <c r="N71" s="5"/>
      <c r="O71" s="5"/>
      <c r="P71" s="5" t="s">
        <v>33</v>
      </c>
      <c r="Q71" s="5"/>
      <c r="R71" s="5" t="s">
        <v>34</v>
      </c>
      <c r="S71" s="8" t="str">
        <f t="shared" si="12"/>
        <v>994|M9</v>
      </c>
      <c r="T71" s="9" t="str">
        <f t="shared" si="13"/>
        <v>Pending</v>
      </c>
      <c r="U71" s="9" t="str">
        <f t="shared" si="14"/>
        <v/>
      </c>
      <c r="V71" s="10" t="str">
        <f t="shared" si="15"/>
        <v>No OOS</v>
      </c>
      <c r="W71" s="9" t="str">
        <f t="shared" si="16"/>
        <v/>
      </c>
    </row>
    <row r="72" spans="1:23" x14ac:dyDescent="0.3">
      <c r="A72" s="11" t="s">
        <v>83</v>
      </c>
      <c r="B72" s="11" t="s">
        <v>87</v>
      </c>
      <c r="C72" s="11" t="s">
        <v>70</v>
      </c>
      <c r="D72" s="11" t="s">
        <v>38</v>
      </c>
      <c r="E72" s="11" t="s">
        <v>29</v>
      </c>
      <c r="F72" s="11"/>
      <c r="G72" s="11"/>
      <c r="H72" s="11"/>
      <c r="I72" s="11"/>
      <c r="J72" s="11"/>
      <c r="K72" s="11" t="str">
        <f t="shared" si="11"/>
        <v/>
      </c>
      <c r="L72" s="11"/>
      <c r="M72" s="11"/>
      <c r="N72" s="11"/>
      <c r="O72" s="11"/>
      <c r="P72" s="11" t="s">
        <v>33</v>
      </c>
      <c r="Q72" s="11"/>
      <c r="R72" s="11"/>
      <c r="S72" s="8" t="str">
        <f t="shared" si="12"/>
        <v>994|M24</v>
      </c>
      <c r="T72" s="9" t="str">
        <f t="shared" si="13"/>
        <v>Pending</v>
      </c>
      <c r="U72" s="9" t="str">
        <f t="shared" si="14"/>
        <v/>
      </c>
      <c r="V72" s="10" t="str">
        <f t="shared" si="15"/>
        <v>No OOS</v>
      </c>
      <c r="W72" s="9" t="str">
        <f t="shared" si="16"/>
        <v/>
      </c>
    </row>
    <row r="73" spans="1:23" x14ac:dyDescent="0.3">
      <c r="A73" s="5" t="s">
        <v>83</v>
      </c>
      <c r="B73" s="5" t="s">
        <v>88</v>
      </c>
      <c r="C73" s="5" t="s">
        <v>27</v>
      </c>
      <c r="D73" s="5" t="s">
        <v>50</v>
      </c>
      <c r="E73" s="5" t="s">
        <v>36</v>
      </c>
      <c r="F73" s="6">
        <v>46047</v>
      </c>
      <c r="G73" s="6">
        <v>46051</v>
      </c>
      <c r="H73" s="6">
        <v>46065</v>
      </c>
      <c r="I73" s="6">
        <v>46058</v>
      </c>
      <c r="J73" s="6">
        <v>46088</v>
      </c>
      <c r="K73" s="7">
        <f t="shared" si="11"/>
        <v>7</v>
      </c>
      <c r="L73" s="5" t="s">
        <v>30</v>
      </c>
      <c r="M73" s="5" t="s">
        <v>31</v>
      </c>
      <c r="N73" s="5" t="s">
        <v>32</v>
      </c>
      <c r="O73" s="5"/>
      <c r="P73" s="5" t="s">
        <v>33</v>
      </c>
      <c r="Q73" s="5"/>
      <c r="R73" s="5" t="s">
        <v>34</v>
      </c>
      <c r="S73" s="8" t="str">
        <f t="shared" si="12"/>
        <v>1013|M36</v>
      </c>
      <c r="T73" s="9" t="str">
        <f t="shared" si="13"/>
        <v>Completed</v>
      </c>
      <c r="U73" s="9">
        <f t="shared" si="14"/>
        <v>2026</v>
      </c>
      <c r="V73" s="10" t="str">
        <f t="shared" si="15"/>
        <v>No OOS</v>
      </c>
      <c r="W73" s="9" t="str">
        <f t="shared" si="16"/>
        <v>Week 1 of February</v>
      </c>
    </row>
    <row r="74" spans="1:23" x14ac:dyDescent="0.3">
      <c r="A74" s="11" t="s">
        <v>83</v>
      </c>
      <c r="B74" s="11" t="s">
        <v>88</v>
      </c>
      <c r="C74" s="11" t="s">
        <v>27</v>
      </c>
      <c r="D74" s="11" t="s">
        <v>45</v>
      </c>
      <c r="E74" s="11" t="s">
        <v>29</v>
      </c>
      <c r="F74" s="11"/>
      <c r="G74" s="11"/>
      <c r="H74" s="11"/>
      <c r="I74" s="11"/>
      <c r="J74" s="11"/>
      <c r="K74" s="11" t="str">
        <f t="shared" si="11"/>
        <v/>
      </c>
      <c r="L74" s="11"/>
      <c r="M74" s="11"/>
      <c r="N74" s="11"/>
      <c r="O74" s="11"/>
      <c r="P74" s="11" t="s">
        <v>37</v>
      </c>
      <c r="Q74" s="11"/>
      <c r="R74" s="11"/>
      <c r="S74" s="8" t="str">
        <f t="shared" si="12"/>
        <v>1013|M18</v>
      </c>
      <c r="T74" s="9" t="str">
        <f t="shared" si="13"/>
        <v>Pending</v>
      </c>
      <c r="U74" s="9" t="str">
        <f t="shared" si="14"/>
        <v/>
      </c>
      <c r="V74" s="10" t="str">
        <f t="shared" si="15"/>
        <v>Open</v>
      </c>
      <c r="W74" s="9" t="str">
        <f t="shared" si="16"/>
        <v/>
      </c>
    </row>
    <row r="75" spans="1:23" x14ac:dyDescent="0.3">
      <c r="A75" s="5" t="s">
        <v>83</v>
      </c>
      <c r="B75" s="5" t="s">
        <v>88</v>
      </c>
      <c r="C75" s="5" t="s">
        <v>27</v>
      </c>
      <c r="D75" s="5" t="s">
        <v>62</v>
      </c>
      <c r="E75" s="5" t="s">
        <v>47</v>
      </c>
      <c r="F75" s="6">
        <v>46066</v>
      </c>
      <c r="G75" s="6">
        <v>46062</v>
      </c>
      <c r="H75" s="6">
        <v>46076</v>
      </c>
      <c r="I75" s="6">
        <v>46069</v>
      </c>
      <c r="J75" s="6">
        <v>46099</v>
      </c>
      <c r="K75" s="7">
        <f t="shared" si="11"/>
        <v>7</v>
      </c>
      <c r="L75" s="5" t="s">
        <v>30</v>
      </c>
      <c r="M75" s="5" t="s">
        <v>31</v>
      </c>
      <c r="N75" s="5" t="s">
        <v>32</v>
      </c>
      <c r="O75" s="5"/>
      <c r="P75" s="5" t="s">
        <v>61</v>
      </c>
      <c r="Q75" s="5" t="s">
        <v>58</v>
      </c>
      <c r="R75" s="5" t="s">
        <v>34</v>
      </c>
      <c r="S75" s="8" t="str">
        <f t="shared" si="12"/>
        <v>1013|M6</v>
      </c>
      <c r="T75" s="9" t="str">
        <f t="shared" si="13"/>
        <v>Completed</v>
      </c>
      <c r="U75" s="9">
        <f t="shared" si="14"/>
        <v>2026</v>
      </c>
      <c r="V75" s="10" t="str">
        <f t="shared" si="15"/>
        <v>Closed</v>
      </c>
      <c r="W75" s="9" t="str">
        <f t="shared" si="16"/>
        <v>Week 3 of February</v>
      </c>
    </row>
    <row r="76" spans="1:23" x14ac:dyDescent="0.3">
      <c r="A76" s="11" t="s">
        <v>83</v>
      </c>
      <c r="B76" s="11" t="s">
        <v>88</v>
      </c>
      <c r="C76" s="11" t="s">
        <v>27</v>
      </c>
      <c r="D76" s="11" t="s">
        <v>38</v>
      </c>
      <c r="E76" s="11" t="s">
        <v>47</v>
      </c>
      <c r="F76" s="12">
        <v>45764</v>
      </c>
      <c r="G76" s="12">
        <v>45762</v>
      </c>
      <c r="H76" s="12">
        <v>45776</v>
      </c>
      <c r="I76" s="12">
        <v>45769</v>
      </c>
      <c r="J76" s="12">
        <v>45799</v>
      </c>
      <c r="K76" s="13">
        <f t="shared" si="11"/>
        <v>7</v>
      </c>
      <c r="L76" s="11" t="s">
        <v>30</v>
      </c>
      <c r="M76" s="11" t="s">
        <v>31</v>
      </c>
      <c r="N76" s="11"/>
      <c r="O76" s="11"/>
      <c r="P76" s="11" t="s">
        <v>37</v>
      </c>
      <c r="Q76" s="11" t="s">
        <v>58</v>
      </c>
      <c r="R76" s="11"/>
      <c r="S76" s="8" t="str">
        <f t="shared" si="12"/>
        <v>1013|M24</v>
      </c>
      <c r="T76" s="9" t="str">
        <f t="shared" si="13"/>
        <v>Pending</v>
      </c>
      <c r="U76" s="9">
        <f t="shared" si="14"/>
        <v>2025</v>
      </c>
      <c r="V76" s="10" t="str">
        <f t="shared" si="15"/>
        <v>Closed</v>
      </c>
      <c r="W76" s="9" t="str">
        <f t="shared" si="16"/>
        <v>Week 4 of April</v>
      </c>
    </row>
    <row r="77" spans="1:23" x14ac:dyDescent="0.3">
      <c r="A77" s="5" t="s">
        <v>83</v>
      </c>
      <c r="B77" s="5" t="s">
        <v>89</v>
      </c>
      <c r="C77" s="5" t="s">
        <v>57</v>
      </c>
      <c r="D77" s="5" t="s">
        <v>50</v>
      </c>
      <c r="E77" s="5" t="s">
        <v>41</v>
      </c>
      <c r="F77" s="6">
        <v>45827</v>
      </c>
      <c r="G77" s="6">
        <v>45831</v>
      </c>
      <c r="H77" s="6">
        <v>45845</v>
      </c>
      <c r="I77" s="6">
        <v>45838</v>
      </c>
      <c r="J77" s="6">
        <v>45868</v>
      </c>
      <c r="K77" s="7">
        <f t="shared" si="11"/>
        <v>7</v>
      </c>
      <c r="L77" s="5" t="s">
        <v>30</v>
      </c>
      <c r="M77" s="5" t="s">
        <v>31</v>
      </c>
      <c r="N77" s="5"/>
      <c r="O77" s="5"/>
      <c r="P77" s="5" t="s">
        <v>61</v>
      </c>
      <c r="Q77" s="5" t="s">
        <v>58</v>
      </c>
      <c r="R77" s="5"/>
      <c r="S77" s="8" t="str">
        <f t="shared" si="12"/>
        <v>1014|M36</v>
      </c>
      <c r="T77" s="9" t="str">
        <f t="shared" si="13"/>
        <v>Pending</v>
      </c>
      <c r="U77" s="9">
        <f t="shared" si="14"/>
        <v>2025</v>
      </c>
      <c r="V77" s="10" t="str">
        <f t="shared" si="15"/>
        <v>Closed</v>
      </c>
      <c r="W77" s="9" t="str">
        <f t="shared" si="16"/>
        <v>Week 5 of June</v>
      </c>
    </row>
    <row r="78" spans="1:23" x14ac:dyDescent="0.3">
      <c r="A78" s="11" t="s">
        <v>83</v>
      </c>
      <c r="B78" s="11" t="s">
        <v>89</v>
      </c>
      <c r="C78" s="11" t="s">
        <v>57</v>
      </c>
      <c r="D78" s="11" t="s">
        <v>39</v>
      </c>
      <c r="E78" s="11" t="s">
        <v>47</v>
      </c>
      <c r="F78" s="12">
        <v>46047</v>
      </c>
      <c r="G78" s="12">
        <v>46044</v>
      </c>
      <c r="H78" s="12">
        <v>46058</v>
      </c>
      <c r="I78" s="12">
        <v>46051</v>
      </c>
      <c r="J78" s="12">
        <v>46081</v>
      </c>
      <c r="K78" s="13">
        <f t="shared" si="11"/>
        <v>7</v>
      </c>
      <c r="L78" s="11" t="s">
        <v>30</v>
      </c>
      <c r="M78" s="11" t="s">
        <v>31</v>
      </c>
      <c r="N78" s="11"/>
      <c r="O78" s="11"/>
      <c r="P78" s="11" t="s">
        <v>33</v>
      </c>
      <c r="Q78" s="11"/>
      <c r="R78" s="11"/>
      <c r="S78" s="8" t="str">
        <f t="shared" si="12"/>
        <v>1014|M1</v>
      </c>
      <c r="T78" s="9" t="str">
        <f t="shared" si="13"/>
        <v>Pending</v>
      </c>
      <c r="U78" s="9">
        <f t="shared" si="14"/>
        <v>2026</v>
      </c>
      <c r="V78" s="10" t="str">
        <f t="shared" si="15"/>
        <v>No OOS</v>
      </c>
      <c r="W78" s="9" t="str">
        <f t="shared" si="16"/>
        <v>Week 5 of January</v>
      </c>
    </row>
    <row r="79" spans="1:23" x14ac:dyDescent="0.3">
      <c r="A79" s="5" t="s">
        <v>83</v>
      </c>
      <c r="B79" s="5" t="s">
        <v>89</v>
      </c>
      <c r="C79" s="5" t="s">
        <v>57</v>
      </c>
      <c r="D79" s="5" t="s">
        <v>28</v>
      </c>
      <c r="E79" s="5" t="s">
        <v>41</v>
      </c>
      <c r="F79" s="6">
        <v>46125</v>
      </c>
      <c r="G79" s="6">
        <v>46125</v>
      </c>
      <c r="H79" s="6">
        <v>46139</v>
      </c>
      <c r="I79" s="6">
        <v>46132</v>
      </c>
      <c r="J79" s="6">
        <v>46162</v>
      </c>
      <c r="K79" s="7">
        <f t="shared" si="11"/>
        <v>7</v>
      </c>
      <c r="L79" s="5" t="s">
        <v>30</v>
      </c>
      <c r="M79" s="5" t="s">
        <v>31</v>
      </c>
      <c r="N79" s="5"/>
      <c r="O79" s="5" t="s">
        <v>90</v>
      </c>
      <c r="P79" s="5" t="s">
        <v>37</v>
      </c>
      <c r="Q79" s="5"/>
      <c r="R79" s="5"/>
      <c r="S79" s="8" t="str">
        <f t="shared" si="12"/>
        <v>1014|M9</v>
      </c>
      <c r="T79" s="9" t="str">
        <f t="shared" si="13"/>
        <v>Pending</v>
      </c>
      <c r="U79" s="9">
        <f t="shared" si="14"/>
        <v>2026</v>
      </c>
      <c r="V79" s="10" t="str">
        <f t="shared" si="15"/>
        <v>Open</v>
      </c>
      <c r="W79" s="9" t="str">
        <f t="shared" si="16"/>
        <v>Week 3 of April</v>
      </c>
    </row>
    <row r="80" spans="1:23" x14ac:dyDescent="0.3">
      <c r="A80" s="11" t="s">
        <v>83</v>
      </c>
      <c r="B80" s="11" t="s">
        <v>89</v>
      </c>
      <c r="C80" s="11" t="s">
        <v>57</v>
      </c>
      <c r="D80" s="11" t="s">
        <v>62</v>
      </c>
      <c r="E80" s="11" t="s">
        <v>36</v>
      </c>
      <c r="F80" s="12">
        <v>45917</v>
      </c>
      <c r="G80" s="12">
        <v>45922</v>
      </c>
      <c r="H80" s="12">
        <v>45936</v>
      </c>
      <c r="I80" s="12">
        <v>45929</v>
      </c>
      <c r="J80" s="12">
        <v>45959</v>
      </c>
      <c r="K80" s="13">
        <f t="shared" si="11"/>
        <v>7</v>
      </c>
      <c r="L80" s="11" t="s">
        <v>30</v>
      </c>
      <c r="M80" s="11" t="s">
        <v>31</v>
      </c>
      <c r="N80" s="11"/>
      <c r="O80" s="11"/>
      <c r="P80" s="11" t="s">
        <v>46</v>
      </c>
      <c r="Q80" s="11"/>
      <c r="R80" s="11"/>
      <c r="S80" s="8" t="str">
        <f t="shared" si="12"/>
        <v>1014|M6</v>
      </c>
      <c r="T80" s="9" t="str">
        <f t="shared" si="13"/>
        <v>Pending</v>
      </c>
      <c r="U80" s="9">
        <f t="shared" si="14"/>
        <v>2025</v>
      </c>
      <c r="V80" s="10" t="str">
        <f t="shared" si="15"/>
        <v>Open</v>
      </c>
      <c r="W80" s="9" t="str">
        <f t="shared" si="16"/>
        <v>Week 5 of September</v>
      </c>
    </row>
    <row r="81" spans="1:23" x14ac:dyDescent="0.3">
      <c r="A81" s="5" t="s">
        <v>83</v>
      </c>
      <c r="B81" s="5" t="s">
        <v>89</v>
      </c>
      <c r="C81" s="5" t="s">
        <v>57</v>
      </c>
      <c r="D81" s="5" t="s">
        <v>45</v>
      </c>
      <c r="E81" s="5" t="s">
        <v>29</v>
      </c>
      <c r="F81" s="6">
        <v>45844</v>
      </c>
      <c r="G81" s="6">
        <v>45838</v>
      </c>
      <c r="H81" s="6">
        <v>45852</v>
      </c>
      <c r="I81" s="6">
        <v>45845</v>
      </c>
      <c r="J81" s="6">
        <v>45875</v>
      </c>
      <c r="K81" s="7">
        <f t="shared" si="11"/>
        <v>7</v>
      </c>
      <c r="L81" s="5" t="s">
        <v>30</v>
      </c>
      <c r="M81" s="5" t="s">
        <v>31</v>
      </c>
      <c r="N81" s="5" t="s">
        <v>44</v>
      </c>
      <c r="O81" s="5"/>
      <c r="P81" s="5" t="s">
        <v>37</v>
      </c>
      <c r="Q81" s="5"/>
      <c r="R81" s="5"/>
      <c r="S81" s="8" t="str">
        <f t="shared" si="12"/>
        <v>1014|M18</v>
      </c>
      <c r="T81" s="9" t="str">
        <f t="shared" si="13"/>
        <v>Not Completed</v>
      </c>
      <c r="U81" s="9">
        <f t="shared" si="14"/>
        <v>2025</v>
      </c>
      <c r="V81" s="10" t="str">
        <f t="shared" si="15"/>
        <v>Open</v>
      </c>
      <c r="W81" s="9" t="str">
        <f t="shared" si="16"/>
        <v>Week 1 of July</v>
      </c>
    </row>
    <row r="82" spans="1:23" x14ac:dyDescent="0.3">
      <c r="A82" s="11" t="s">
        <v>83</v>
      </c>
      <c r="B82" s="11" t="s">
        <v>89</v>
      </c>
      <c r="C82" s="11" t="s">
        <v>57</v>
      </c>
      <c r="D82" s="11" t="s">
        <v>40</v>
      </c>
      <c r="E82" s="11" t="s">
        <v>36</v>
      </c>
      <c r="F82" s="12">
        <v>45992</v>
      </c>
      <c r="G82" s="12">
        <v>45992</v>
      </c>
      <c r="H82" s="12">
        <v>46006</v>
      </c>
      <c r="I82" s="12">
        <v>45999</v>
      </c>
      <c r="J82" s="12">
        <v>46029</v>
      </c>
      <c r="K82" s="13">
        <f t="shared" si="11"/>
        <v>7</v>
      </c>
      <c r="L82" s="11" t="s">
        <v>30</v>
      </c>
      <c r="M82" s="11" t="s">
        <v>31</v>
      </c>
      <c r="N82" s="11" t="s">
        <v>32</v>
      </c>
      <c r="O82" s="11"/>
      <c r="P82" s="11" t="s">
        <v>33</v>
      </c>
      <c r="Q82" s="11"/>
      <c r="R82" s="11" t="s">
        <v>34</v>
      </c>
      <c r="S82" s="8" t="str">
        <f t="shared" si="12"/>
        <v>1014|M12</v>
      </c>
      <c r="T82" s="9" t="str">
        <f t="shared" si="13"/>
        <v>Completed</v>
      </c>
      <c r="U82" s="9">
        <f t="shared" si="14"/>
        <v>2025</v>
      </c>
      <c r="V82" s="10" t="str">
        <f t="shared" si="15"/>
        <v>No OOS</v>
      </c>
      <c r="W82" s="9" t="str">
        <f t="shared" si="16"/>
        <v>Week 2 of December</v>
      </c>
    </row>
    <row r="83" spans="1:23" x14ac:dyDescent="0.3">
      <c r="A83" s="5" t="s">
        <v>91</v>
      </c>
      <c r="B83" s="5" t="s">
        <v>92</v>
      </c>
      <c r="C83" s="5" t="s">
        <v>80</v>
      </c>
      <c r="D83" s="5" t="s">
        <v>50</v>
      </c>
      <c r="E83" s="5" t="s">
        <v>36</v>
      </c>
      <c r="F83" s="6">
        <v>46024</v>
      </c>
      <c r="G83" s="6">
        <v>46022</v>
      </c>
      <c r="H83" s="6">
        <v>46036</v>
      </c>
      <c r="I83" s="6">
        <v>46029</v>
      </c>
      <c r="J83" s="6">
        <v>46059</v>
      </c>
      <c r="K83" s="7">
        <f t="shared" si="11"/>
        <v>7</v>
      </c>
      <c r="L83" s="5" t="s">
        <v>30</v>
      </c>
      <c r="M83" s="5" t="s">
        <v>31</v>
      </c>
      <c r="N83" s="5"/>
      <c r="O83" s="5"/>
      <c r="P83" s="5" t="s">
        <v>54</v>
      </c>
      <c r="Q83" s="5"/>
      <c r="R83" s="5"/>
      <c r="S83" s="8" t="str">
        <f t="shared" si="12"/>
        <v>1024|M36</v>
      </c>
      <c r="T83" s="9" t="str">
        <f t="shared" si="13"/>
        <v>Pending</v>
      </c>
      <c r="U83" s="9">
        <f t="shared" si="14"/>
        <v>2026</v>
      </c>
      <c r="V83" s="10" t="str">
        <f t="shared" si="15"/>
        <v>Open</v>
      </c>
      <c r="W83" s="9" t="str">
        <f t="shared" si="16"/>
        <v>Week 1 of January</v>
      </c>
    </row>
    <row r="84" spans="1:23" x14ac:dyDescent="0.3">
      <c r="A84" s="11" t="s">
        <v>91</v>
      </c>
      <c r="B84" s="11" t="s">
        <v>92</v>
      </c>
      <c r="C84" s="11" t="s">
        <v>80</v>
      </c>
      <c r="D84" s="11" t="s">
        <v>40</v>
      </c>
      <c r="E84" s="11" t="s">
        <v>29</v>
      </c>
      <c r="F84" s="12">
        <v>45908</v>
      </c>
      <c r="G84" s="12">
        <v>45902</v>
      </c>
      <c r="H84" s="12">
        <v>45916</v>
      </c>
      <c r="I84" s="12">
        <v>45909</v>
      </c>
      <c r="J84" s="12">
        <v>45939</v>
      </c>
      <c r="K84" s="13">
        <f t="shared" si="11"/>
        <v>7</v>
      </c>
      <c r="L84" s="11" t="s">
        <v>30</v>
      </c>
      <c r="M84" s="11" t="s">
        <v>31</v>
      </c>
      <c r="N84" s="11"/>
      <c r="O84" s="11"/>
      <c r="P84" s="11" t="s">
        <v>33</v>
      </c>
      <c r="Q84" s="11"/>
      <c r="R84" s="11"/>
      <c r="S84" s="8" t="str">
        <f t="shared" si="12"/>
        <v>1024|M12</v>
      </c>
      <c r="T84" s="9" t="str">
        <f t="shared" si="13"/>
        <v>Pending</v>
      </c>
      <c r="U84" s="9">
        <f t="shared" si="14"/>
        <v>2025</v>
      </c>
      <c r="V84" s="10" t="str">
        <f t="shared" si="15"/>
        <v>No OOS</v>
      </c>
      <c r="W84" s="9" t="str">
        <f t="shared" si="16"/>
        <v>Week 2 of September</v>
      </c>
    </row>
    <row r="85" spans="1:23" x14ac:dyDescent="0.3">
      <c r="A85" s="5" t="s">
        <v>91</v>
      </c>
      <c r="B85" s="5" t="s">
        <v>92</v>
      </c>
      <c r="C85" s="5" t="s">
        <v>80</v>
      </c>
      <c r="D85" s="5" t="s">
        <v>38</v>
      </c>
      <c r="E85" s="5" t="s">
        <v>29</v>
      </c>
      <c r="F85" s="6">
        <v>46109</v>
      </c>
      <c r="G85" s="6">
        <v>46111</v>
      </c>
      <c r="H85" s="6">
        <v>46125</v>
      </c>
      <c r="I85" s="6">
        <v>46118</v>
      </c>
      <c r="J85" s="6">
        <v>46148</v>
      </c>
      <c r="K85" s="7">
        <f t="shared" si="11"/>
        <v>7</v>
      </c>
      <c r="L85" s="5" t="s">
        <v>30</v>
      </c>
      <c r="M85" s="5" t="s">
        <v>31</v>
      </c>
      <c r="N85" s="5"/>
      <c r="O85" s="5"/>
      <c r="P85" s="5" t="s">
        <v>61</v>
      </c>
      <c r="Q85" s="5" t="s">
        <v>58</v>
      </c>
      <c r="R85" s="5"/>
      <c r="S85" s="8" t="str">
        <f t="shared" si="12"/>
        <v>1024|M24</v>
      </c>
      <c r="T85" s="9" t="str">
        <f t="shared" si="13"/>
        <v>Pending</v>
      </c>
      <c r="U85" s="9">
        <f t="shared" si="14"/>
        <v>2026</v>
      </c>
      <c r="V85" s="10" t="str">
        <f t="shared" si="15"/>
        <v>Closed</v>
      </c>
      <c r="W85" s="9" t="str">
        <f t="shared" si="16"/>
        <v>Week 1 of April</v>
      </c>
    </row>
    <row r="86" spans="1:23" x14ac:dyDescent="0.3">
      <c r="A86" s="11" t="s">
        <v>91</v>
      </c>
      <c r="B86" s="11" t="s">
        <v>92</v>
      </c>
      <c r="C86" s="11" t="s">
        <v>80</v>
      </c>
      <c r="D86" s="11" t="s">
        <v>62</v>
      </c>
      <c r="E86" s="11" t="s">
        <v>36</v>
      </c>
      <c r="F86" s="12">
        <v>45902</v>
      </c>
      <c r="G86" s="12">
        <v>45895</v>
      </c>
      <c r="H86" s="12">
        <v>45909</v>
      </c>
      <c r="I86" s="12">
        <v>45902</v>
      </c>
      <c r="J86" s="12">
        <v>45932</v>
      </c>
      <c r="K86" s="13">
        <f t="shared" si="11"/>
        <v>7</v>
      </c>
      <c r="L86" s="11" t="s">
        <v>30</v>
      </c>
      <c r="M86" s="11" t="s">
        <v>31</v>
      </c>
      <c r="N86" s="11"/>
      <c r="O86" s="11"/>
      <c r="P86" s="11" t="s">
        <v>33</v>
      </c>
      <c r="Q86" s="11"/>
      <c r="R86" s="11"/>
      <c r="S86" s="8" t="str">
        <f t="shared" si="12"/>
        <v>1024|M6</v>
      </c>
      <c r="T86" s="9" t="str">
        <f t="shared" si="13"/>
        <v>Pending</v>
      </c>
      <c r="U86" s="9">
        <f t="shared" si="14"/>
        <v>2025</v>
      </c>
      <c r="V86" s="10" t="str">
        <f t="shared" si="15"/>
        <v>No OOS</v>
      </c>
      <c r="W86" s="9" t="str">
        <f t="shared" si="16"/>
        <v>Week 1 of September</v>
      </c>
    </row>
    <row r="87" spans="1:23" x14ac:dyDescent="0.3">
      <c r="A87" s="5" t="s">
        <v>91</v>
      </c>
      <c r="B87" s="5" t="s">
        <v>92</v>
      </c>
      <c r="C87" s="5" t="s">
        <v>80</v>
      </c>
      <c r="D87" s="5" t="s">
        <v>28</v>
      </c>
      <c r="E87" s="5" t="s">
        <v>41</v>
      </c>
      <c r="F87" s="5"/>
      <c r="G87" s="5"/>
      <c r="H87" s="5"/>
      <c r="I87" s="5"/>
      <c r="J87" s="5"/>
      <c r="K87" s="5" t="str">
        <f t="shared" si="11"/>
        <v/>
      </c>
      <c r="L87" s="5"/>
      <c r="M87" s="5"/>
      <c r="N87" s="5"/>
      <c r="O87" s="5"/>
      <c r="P87" s="5" t="s">
        <v>33</v>
      </c>
      <c r="Q87" s="5"/>
      <c r="R87" s="5"/>
      <c r="S87" s="8" t="str">
        <f t="shared" si="12"/>
        <v>1024|M9</v>
      </c>
      <c r="T87" s="9" t="str">
        <f t="shared" si="13"/>
        <v>Pending</v>
      </c>
      <c r="U87" s="9" t="str">
        <f t="shared" si="14"/>
        <v/>
      </c>
      <c r="V87" s="10" t="str">
        <f t="shared" si="15"/>
        <v>No OOS</v>
      </c>
      <c r="W87" s="9" t="str">
        <f t="shared" si="16"/>
        <v/>
      </c>
    </row>
    <row r="88" spans="1:23" x14ac:dyDescent="0.3">
      <c r="A88" s="11" t="s">
        <v>91</v>
      </c>
      <c r="B88" s="11" t="s">
        <v>93</v>
      </c>
      <c r="C88" s="11" t="s">
        <v>60</v>
      </c>
      <c r="D88" s="11" t="s">
        <v>50</v>
      </c>
      <c r="E88" s="11" t="s">
        <v>47</v>
      </c>
      <c r="F88" s="12">
        <v>45864</v>
      </c>
      <c r="G88" s="12">
        <v>45870</v>
      </c>
      <c r="H88" s="12">
        <v>45884</v>
      </c>
      <c r="I88" s="12">
        <v>45877</v>
      </c>
      <c r="J88" s="12">
        <v>45907</v>
      </c>
      <c r="K88" s="13">
        <f t="shared" si="11"/>
        <v>7</v>
      </c>
      <c r="L88" s="11" t="s">
        <v>30</v>
      </c>
      <c r="M88" s="11" t="s">
        <v>31</v>
      </c>
      <c r="N88" s="11"/>
      <c r="O88" s="11"/>
      <c r="P88" s="11" t="s">
        <v>33</v>
      </c>
      <c r="Q88" s="11"/>
      <c r="R88" s="11"/>
      <c r="S88" s="8" t="str">
        <f t="shared" si="12"/>
        <v>1043|M36</v>
      </c>
      <c r="T88" s="9" t="str">
        <f t="shared" si="13"/>
        <v>Pending</v>
      </c>
      <c r="U88" s="9">
        <f t="shared" si="14"/>
        <v>2025</v>
      </c>
      <c r="V88" s="10" t="str">
        <f t="shared" si="15"/>
        <v>No OOS</v>
      </c>
      <c r="W88" s="9" t="str">
        <f t="shared" si="16"/>
        <v>Week 2 of August</v>
      </c>
    </row>
    <row r="89" spans="1:23" x14ac:dyDescent="0.3">
      <c r="A89" s="5" t="s">
        <v>91</v>
      </c>
      <c r="B89" s="5" t="s">
        <v>93</v>
      </c>
      <c r="C89" s="5" t="s">
        <v>60</v>
      </c>
      <c r="D89" s="5" t="s">
        <v>28</v>
      </c>
      <c r="E89" s="5" t="s">
        <v>29</v>
      </c>
      <c r="F89" s="5"/>
      <c r="G89" s="5"/>
      <c r="H89" s="5"/>
      <c r="I89" s="5"/>
      <c r="J89" s="5"/>
      <c r="K89" s="5" t="str">
        <f t="shared" si="11"/>
        <v/>
      </c>
      <c r="L89" s="5"/>
      <c r="M89" s="5"/>
      <c r="N89" s="5"/>
      <c r="O89" s="5"/>
      <c r="P89" s="5" t="s">
        <v>33</v>
      </c>
      <c r="Q89" s="5"/>
      <c r="R89" s="5" t="s">
        <v>34</v>
      </c>
      <c r="S89" s="8" t="str">
        <f t="shared" si="12"/>
        <v>1043|M9</v>
      </c>
      <c r="T89" s="9" t="str">
        <f t="shared" si="13"/>
        <v>Pending</v>
      </c>
      <c r="U89" s="9" t="str">
        <f t="shared" si="14"/>
        <v/>
      </c>
      <c r="V89" s="10" t="str">
        <f t="shared" si="15"/>
        <v>No OOS</v>
      </c>
      <c r="W89" s="9" t="str">
        <f t="shared" si="16"/>
        <v/>
      </c>
    </row>
    <row r="90" spans="1:23" x14ac:dyDescent="0.3">
      <c r="A90" s="11" t="s">
        <v>91</v>
      </c>
      <c r="B90" s="11" t="s">
        <v>93</v>
      </c>
      <c r="C90" s="11" t="s">
        <v>60</v>
      </c>
      <c r="D90" s="11" t="s">
        <v>38</v>
      </c>
      <c r="E90" s="11" t="s">
        <v>29</v>
      </c>
      <c r="F90" s="12">
        <v>45788</v>
      </c>
      <c r="G90" s="12">
        <v>45784</v>
      </c>
      <c r="H90" s="12">
        <v>45798</v>
      </c>
      <c r="I90" s="12">
        <v>45791</v>
      </c>
      <c r="J90" s="12">
        <v>45821</v>
      </c>
      <c r="K90" s="13">
        <f t="shared" si="11"/>
        <v>7</v>
      </c>
      <c r="L90" s="11" t="s">
        <v>30</v>
      </c>
      <c r="M90" s="11" t="s">
        <v>31</v>
      </c>
      <c r="N90" s="11" t="s">
        <v>32</v>
      </c>
      <c r="O90" s="11"/>
      <c r="P90" s="11" t="s">
        <v>37</v>
      </c>
      <c r="Q90" s="11" t="s">
        <v>58</v>
      </c>
      <c r="R90" s="11" t="s">
        <v>34</v>
      </c>
      <c r="S90" s="8" t="str">
        <f t="shared" si="12"/>
        <v>1043|M24</v>
      </c>
      <c r="T90" s="9" t="str">
        <f t="shared" si="13"/>
        <v>Completed</v>
      </c>
      <c r="U90" s="9">
        <f t="shared" si="14"/>
        <v>2025</v>
      </c>
      <c r="V90" s="10" t="str">
        <f t="shared" si="15"/>
        <v>Closed</v>
      </c>
      <c r="W90" s="9" t="str">
        <f t="shared" si="16"/>
        <v>Week 2 of May</v>
      </c>
    </row>
    <row r="91" spans="1:23" x14ac:dyDescent="0.3">
      <c r="A91" s="5" t="s">
        <v>91</v>
      </c>
      <c r="B91" s="5" t="s">
        <v>93</v>
      </c>
      <c r="C91" s="5" t="s">
        <v>60</v>
      </c>
      <c r="D91" s="5" t="s">
        <v>62</v>
      </c>
      <c r="E91" s="5" t="s">
        <v>47</v>
      </c>
      <c r="F91" s="6">
        <v>45970</v>
      </c>
      <c r="G91" s="6">
        <v>45967</v>
      </c>
      <c r="H91" s="6">
        <v>45981</v>
      </c>
      <c r="I91" s="6">
        <v>45974</v>
      </c>
      <c r="J91" s="6">
        <v>46004</v>
      </c>
      <c r="K91" s="7">
        <f t="shared" si="11"/>
        <v>7</v>
      </c>
      <c r="L91" s="5" t="s">
        <v>30</v>
      </c>
      <c r="M91" s="5" t="s">
        <v>31</v>
      </c>
      <c r="N91" s="5"/>
      <c r="O91" s="5"/>
      <c r="P91" s="5" t="s">
        <v>37</v>
      </c>
      <c r="Q91" s="5"/>
      <c r="R91" s="5"/>
      <c r="S91" s="8" t="str">
        <f t="shared" si="12"/>
        <v>1043|M6</v>
      </c>
      <c r="T91" s="9" t="str">
        <f t="shared" si="13"/>
        <v>Pending</v>
      </c>
      <c r="U91" s="9">
        <f t="shared" si="14"/>
        <v>2025</v>
      </c>
      <c r="V91" s="10" t="str">
        <f t="shared" si="15"/>
        <v>Open</v>
      </c>
      <c r="W91" s="9" t="str">
        <f t="shared" si="16"/>
        <v>Week 2 of November</v>
      </c>
    </row>
    <row r="92" spans="1:23" x14ac:dyDescent="0.3">
      <c r="A92" s="11" t="s">
        <v>91</v>
      </c>
      <c r="B92" s="11" t="s">
        <v>93</v>
      </c>
      <c r="C92" s="11" t="s">
        <v>60</v>
      </c>
      <c r="D92" s="11" t="s">
        <v>35</v>
      </c>
      <c r="E92" s="11" t="s">
        <v>29</v>
      </c>
      <c r="F92" s="12">
        <v>46135</v>
      </c>
      <c r="G92" s="12">
        <v>46131</v>
      </c>
      <c r="H92" s="12">
        <v>46145</v>
      </c>
      <c r="I92" s="12">
        <v>46138</v>
      </c>
      <c r="J92" s="12">
        <v>46168</v>
      </c>
      <c r="K92" s="13">
        <f t="shared" si="11"/>
        <v>7</v>
      </c>
      <c r="L92" s="11" t="s">
        <v>30</v>
      </c>
      <c r="M92" s="11" t="s">
        <v>31</v>
      </c>
      <c r="N92" s="11" t="s">
        <v>44</v>
      </c>
      <c r="O92" s="11"/>
      <c r="P92" s="11" t="s">
        <v>61</v>
      </c>
      <c r="Q92" s="11" t="s">
        <v>58</v>
      </c>
      <c r="R92" s="11"/>
      <c r="S92" s="8" t="str">
        <f t="shared" si="12"/>
        <v>1043|M3</v>
      </c>
      <c r="T92" s="9" t="str">
        <f t="shared" si="13"/>
        <v>Not Completed</v>
      </c>
      <c r="U92" s="9">
        <f t="shared" si="14"/>
        <v>2026</v>
      </c>
      <c r="V92" s="10" t="str">
        <f t="shared" si="15"/>
        <v>Closed</v>
      </c>
      <c r="W92" s="9" t="str">
        <f t="shared" si="16"/>
        <v>Week 4 of April</v>
      </c>
    </row>
    <row r="93" spans="1:23" x14ac:dyDescent="0.3">
      <c r="A93" s="5" t="s">
        <v>91</v>
      </c>
      <c r="B93" s="5" t="s">
        <v>94</v>
      </c>
      <c r="C93" s="5" t="s">
        <v>52</v>
      </c>
      <c r="D93" s="5" t="s">
        <v>39</v>
      </c>
      <c r="E93" s="5" t="s">
        <v>41</v>
      </c>
      <c r="F93" s="6">
        <v>45761</v>
      </c>
      <c r="G93" s="6">
        <v>45757</v>
      </c>
      <c r="H93" s="6">
        <v>45771</v>
      </c>
      <c r="I93" s="6">
        <v>45764</v>
      </c>
      <c r="J93" s="6">
        <v>45794</v>
      </c>
      <c r="K93" s="7">
        <f t="shared" si="11"/>
        <v>7</v>
      </c>
      <c r="L93" s="5" t="s">
        <v>30</v>
      </c>
      <c r="M93" s="5" t="s">
        <v>31</v>
      </c>
      <c r="N93" s="5"/>
      <c r="O93" s="5"/>
      <c r="P93" s="5" t="s">
        <v>61</v>
      </c>
      <c r="Q93" s="5" t="s">
        <v>58</v>
      </c>
      <c r="R93" s="5"/>
      <c r="S93" s="8" t="str">
        <f t="shared" si="12"/>
        <v>1046|M1</v>
      </c>
      <c r="T93" s="9" t="str">
        <f t="shared" si="13"/>
        <v>Pending</v>
      </c>
      <c r="U93" s="9">
        <f t="shared" si="14"/>
        <v>2025</v>
      </c>
      <c r="V93" s="10" t="str">
        <f t="shared" si="15"/>
        <v>Closed</v>
      </c>
      <c r="W93" s="9" t="str">
        <f t="shared" si="16"/>
        <v>Week 3 of April</v>
      </c>
    </row>
    <row r="94" spans="1:23" x14ac:dyDescent="0.3">
      <c r="A94" s="11" t="s">
        <v>91</v>
      </c>
      <c r="B94" s="11" t="s">
        <v>94</v>
      </c>
      <c r="C94" s="11" t="s">
        <v>52</v>
      </c>
      <c r="D94" s="11" t="s">
        <v>28</v>
      </c>
      <c r="E94" s="11" t="s">
        <v>41</v>
      </c>
      <c r="F94" s="12">
        <v>45871</v>
      </c>
      <c r="G94" s="12">
        <v>45876</v>
      </c>
      <c r="H94" s="12">
        <v>45890</v>
      </c>
      <c r="I94" s="12">
        <v>45883</v>
      </c>
      <c r="J94" s="12">
        <v>45913</v>
      </c>
      <c r="K94" s="13">
        <f t="shared" si="11"/>
        <v>7</v>
      </c>
      <c r="L94" s="11" t="s">
        <v>30</v>
      </c>
      <c r="M94" s="11" t="s">
        <v>31</v>
      </c>
      <c r="N94" s="11"/>
      <c r="O94" s="11"/>
      <c r="P94" s="11" t="s">
        <v>33</v>
      </c>
      <c r="Q94" s="11"/>
      <c r="R94" s="11"/>
      <c r="S94" s="8" t="str">
        <f t="shared" si="12"/>
        <v>1046|M9</v>
      </c>
      <c r="T94" s="9" t="str">
        <f t="shared" si="13"/>
        <v>Pending</v>
      </c>
      <c r="U94" s="9">
        <f t="shared" si="14"/>
        <v>2025</v>
      </c>
      <c r="V94" s="10" t="str">
        <f t="shared" si="15"/>
        <v>No OOS</v>
      </c>
      <c r="W94" s="9" t="str">
        <f t="shared" si="16"/>
        <v>Week 2 of August</v>
      </c>
    </row>
    <row r="95" spans="1:23" x14ac:dyDescent="0.3">
      <c r="A95" s="5" t="s">
        <v>91</v>
      </c>
      <c r="B95" s="5" t="s">
        <v>94</v>
      </c>
      <c r="C95" s="5" t="s">
        <v>52</v>
      </c>
      <c r="D95" s="5" t="s">
        <v>38</v>
      </c>
      <c r="E95" s="5" t="s">
        <v>47</v>
      </c>
      <c r="F95" s="6">
        <v>45810</v>
      </c>
      <c r="G95" s="6">
        <v>45817</v>
      </c>
      <c r="H95" s="6">
        <v>45831</v>
      </c>
      <c r="I95" s="6">
        <v>45824</v>
      </c>
      <c r="J95" s="6">
        <v>45854</v>
      </c>
      <c r="K95" s="7">
        <f t="shared" si="11"/>
        <v>7</v>
      </c>
      <c r="L95" s="5" t="s">
        <v>30</v>
      </c>
      <c r="M95" s="5" t="s">
        <v>31</v>
      </c>
      <c r="N95" s="5"/>
      <c r="O95" s="5"/>
      <c r="P95" s="5" t="s">
        <v>33</v>
      </c>
      <c r="Q95" s="5"/>
      <c r="R95" s="5"/>
      <c r="S95" s="8" t="str">
        <f t="shared" si="12"/>
        <v>1046|M24</v>
      </c>
      <c r="T95" s="9" t="str">
        <f t="shared" si="13"/>
        <v>Pending</v>
      </c>
      <c r="U95" s="9">
        <f t="shared" si="14"/>
        <v>2025</v>
      </c>
      <c r="V95" s="10" t="str">
        <f t="shared" si="15"/>
        <v>No OOS</v>
      </c>
      <c r="W95" s="9" t="str">
        <f t="shared" si="16"/>
        <v>Week 3 of June</v>
      </c>
    </row>
    <row r="96" spans="1:23" x14ac:dyDescent="0.3">
      <c r="A96" s="11" t="s">
        <v>91</v>
      </c>
      <c r="B96" s="11" t="s">
        <v>94</v>
      </c>
      <c r="C96" s="11" t="s">
        <v>52</v>
      </c>
      <c r="D96" s="11" t="s">
        <v>40</v>
      </c>
      <c r="E96" s="11" t="s">
        <v>41</v>
      </c>
      <c r="F96" s="12">
        <v>46041</v>
      </c>
      <c r="G96" s="12">
        <v>46045</v>
      </c>
      <c r="H96" s="12">
        <v>46059</v>
      </c>
      <c r="I96" s="12">
        <v>46052</v>
      </c>
      <c r="J96" s="12">
        <v>46082</v>
      </c>
      <c r="K96" s="13">
        <f t="shared" si="11"/>
        <v>7</v>
      </c>
      <c r="L96" s="11" t="s">
        <v>30</v>
      </c>
      <c r="M96" s="11" t="s">
        <v>31</v>
      </c>
      <c r="N96" s="11"/>
      <c r="O96" s="11"/>
      <c r="P96" s="11" t="s">
        <v>61</v>
      </c>
      <c r="Q96" s="11"/>
      <c r="R96" s="11"/>
      <c r="S96" s="8" t="str">
        <f t="shared" si="12"/>
        <v>1046|M12</v>
      </c>
      <c r="T96" s="9" t="str">
        <f t="shared" si="13"/>
        <v>Pending</v>
      </c>
      <c r="U96" s="9">
        <f t="shared" si="14"/>
        <v>2026</v>
      </c>
      <c r="V96" s="10" t="str">
        <f t="shared" si="15"/>
        <v>Open</v>
      </c>
      <c r="W96" s="9" t="str">
        <f t="shared" si="16"/>
        <v>Week 5 of January</v>
      </c>
    </row>
    <row r="97" spans="1:23" x14ac:dyDescent="0.3">
      <c r="A97" s="5" t="s">
        <v>91</v>
      </c>
      <c r="B97" s="5" t="s">
        <v>95</v>
      </c>
      <c r="C97" s="5" t="s">
        <v>85</v>
      </c>
      <c r="D97" s="5" t="s">
        <v>50</v>
      </c>
      <c r="E97" s="5" t="s">
        <v>47</v>
      </c>
      <c r="F97" s="6">
        <v>45876</v>
      </c>
      <c r="G97" s="6">
        <v>45869</v>
      </c>
      <c r="H97" s="6">
        <v>45883</v>
      </c>
      <c r="I97" s="6">
        <v>45876</v>
      </c>
      <c r="J97" s="6">
        <v>45906</v>
      </c>
      <c r="K97" s="7">
        <f t="shared" si="11"/>
        <v>7</v>
      </c>
      <c r="L97" s="5" t="s">
        <v>30</v>
      </c>
      <c r="M97" s="5" t="s">
        <v>31</v>
      </c>
      <c r="N97" s="5" t="s">
        <v>32</v>
      </c>
      <c r="O97" s="5" t="s">
        <v>96</v>
      </c>
      <c r="P97" s="5" t="s">
        <v>33</v>
      </c>
      <c r="Q97" s="5"/>
      <c r="R97" s="5" t="s">
        <v>34</v>
      </c>
      <c r="S97" s="8" t="str">
        <f t="shared" si="12"/>
        <v>1055|M36</v>
      </c>
      <c r="T97" s="9" t="str">
        <f t="shared" si="13"/>
        <v>Completed</v>
      </c>
      <c r="U97" s="9">
        <f t="shared" si="14"/>
        <v>2025</v>
      </c>
      <c r="V97" s="10" t="str">
        <f t="shared" si="15"/>
        <v>No OOS</v>
      </c>
      <c r="W97" s="9" t="str">
        <f t="shared" si="16"/>
        <v>Week 1 of August</v>
      </c>
    </row>
    <row r="98" spans="1:23" x14ac:dyDescent="0.3">
      <c r="A98" s="11" t="s">
        <v>91</v>
      </c>
      <c r="B98" s="11" t="s">
        <v>95</v>
      </c>
      <c r="C98" s="11" t="s">
        <v>85</v>
      </c>
      <c r="D98" s="11" t="s">
        <v>39</v>
      </c>
      <c r="E98" s="11" t="s">
        <v>41</v>
      </c>
      <c r="F98" s="12">
        <v>46043</v>
      </c>
      <c r="G98" s="12">
        <v>46036</v>
      </c>
      <c r="H98" s="12">
        <v>46050</v>
      </c>
      <c r="I98" s="12">
        <v>46043</v>
      </c>
      <c r="J98" s="12">
        <v>46073</v>
      </c>
      <c r="K98" s="13">
        <f t="shared" si="11"/>
        <v>7</v>
      </c>
      <c r="L98" s="11" t="s">
        <v>30</v>
      </c>
      <c r="M98" s="11" t="s">
        <v>31</v>
      </c>
      <c r="N98" s="11" t="s">
        <v>44</v>
      </c>
      <c r="O98" s="11" t="s">
        <v>97</v>
      </c>
      <c r="P98" s="11" t="s">
        <v>54</v>
      </c>
      <c r="Q98" s="11" t="s">
        <v>58</v>
      </c>
      <c r="R98" s="11"/>
      <c r="S98" s="8" t="str">
        <f t="shared" si="12"/>
        <v>1055|M1</v>
      </c>
      <c r="T98" s="9" t="str">
        <f t="shared" si="13"/>
        <v>Not Completed</v>
      </c>
      <c r="U98" s="9">
        <f t="shared" si="14"/>
        <v>2026</v>
      </c>
      <c r="V98" s="10" t="str">
        <f t="shared" si="15"/>
        <v>Closed</v>
      </c>
      <c r="W98" s="9" t="str">
        <f t="shared" si="16"/>
        <v>Week 3 of January</v>
      </c>
    </row>
    <row r="99" spans="1:23" x14ac:dyDescent="0.3">
      <c r="A99" s="5" t="s">
        <v>91</v>
      </c>
      <c r="B99" s="5" t="s">
        <v>95</v>
      </c>
      <c r="C99" s="5" t="s">
        <v>85</v>
      </c>
      <c r="D99" s="5" t="s">
        <v>40</v>
      </c>
      <c r="E99" s="5" t="s">
        <v>41</v>
      </c>
      <c r="F99" s="6">
        <v>45961</v>
      </c>
      <c r="G99" s="6">
        <v>45964</v>
      </c>
      <c r="H99" s="6">
        <v>45978</v>
      </c>
      <c r="I99" s="6">
        <v>45971</v>
      </c>
      <c r="J99" s="6">
        <v>46001</v>
      </c>
      <c r="K99" s="7">
        <f t="shared" si="11"/>
        <v>7</v>
      </c>
      <c r="L99" s="5" t="s">
        <v>30</v>
      </c>
      <c r="M99" s="5" t="s">
        <v>31</v>
      </c>
      <c r="N99" s="5"/>
      <c r="O99" s="5"/>
      <c r="P99" s="5" t="s">
        <v>33</v>
      </c>
      <c r="Q99" s="5"/>
      <c r="R99" s="5"/>
      <c r="S99" s="8" t="str">
        <f t="shared" si="12"/>
        <v>1055|M12</v>
      </c>
      <c r="T99" s="9" t="str">
        <f t="shared" si="13"/>
        <v>Pending</v>
      </c>
      <c r="U99" s="9">
        <f t="shared" si="14"/>
        <v>2025</v>
      </c>
      <c r="V99" s="10" t="str">
        <f t="shared" si="15"/>
        <v>No OOS</v>
      </c>
      <c r="W99" s="9" t="str">
        <f t="shared" si="16"/>
        <v>Week 2 of November</v>
      </c>
    </row>
    <row r="100" spans="1:23" x14ac:dyDescent="0.3">
      <c r="A100" s="11" t="s">
        <v>91</v>
      </c>
      <c r="B100" s="11" t="s">
        <v>95</v>
      </c>
      <c r="C100" s="11" t="s">
        <v>85</v>
      </c>
      <c r="D100" s="11" t="s">
        <v>38</v>
      </c>
      <c r="E100" s="11" t="s">
        <v>41</v>
      </c>
      <c r="F100" s="12">
        <v>46090</v>
      </c>
      <c r="G100" s="12">
        <v>46084</v>
      </c>
      <c r="H100" s="12">
        <v>46098</v>
      </c>
      <c r="I100" s="12">
        <v>46091</v>
      </c>
      <c r="J100" s="12">
        <v>46121</v>
      </c>
      <c r="K100" s="13">
        <f t="shared" si="11"/>
        <v>7</v>
      </c>
      <c r="L100" s="11" t="s">
        <v>30</v>
      </c>
      <c r="M100" s="11" t="s">
        <v>31</v>
      </c>
      <c r="N100" s="11" t="s">
        <v>44</v>
      </c>
      <c r="O100" s="11"/>
      <c r="P100" s="11" t="s">
        <v>46</v>
      </c>
      <c r="Q100" s="11"/>
      <c r="R100" s="11"/>
      <c r="S100" s="8" t="str">
        <f t="shared" si="12"/>
        <v>1055|M24</v>
      </c>
      <c r="T100" s="9" t="str">
        <f t="shared" si="13"/>
        <v>Not Completed</v>
      </c>
      <c r="U100" s="9">
        <f t="shared" si="14"/>
        <v>2026</v>
      </c>
      <c r="V100" s="10" t="str">
        <f t="shared" si="15"/>
        <v>Open</v>
      </c>
      <c r="W100" s="9" t="str">
        <f t="shared" si="16"/>
        <v>Week 2 of March</v>
      </c>
    </row>
    <row r="101" spans="1:23" x14ac:dyDescent="0.3">
      <c r="A101" s="5" t="s">
        <v>91</v>
      </c>
      <c r="B101" s="5" t="s">
        <v>95</v>
      </c>
      <c r="C101" s="5" t="s">
        <v>85</v>
      </c>
      <c r="D101" s="5" t="s">
        <v>28</v>
      </c>
      <c r="E101" s="5" t="s">
        <v>41</v>
      </c>
      <c r="F101" s="6">
        <v>46152</v>
      </c>
      <c r="G101" s="6">
        <v>46157</v>
      </c>
      <c r="H101" s="6">
        <v>46171</v>
      </c>
      <c r="I101" s="6">
        <v>46164</v>
      </c>
      <c r="J101" s="6">
        <v>46194</v>
      </c>
      <c r="K101" s="7">
        <f t="shared" ref="K101:K114" si="17">IF(I101="","",I101-G101)</f>
        <v>7</v>
      </c>
      <c r="L101" s="5" t="s">
        <v>30</v>
      </c>
      <c r="M101" s="5" t="s">
        <v>31</v>
      </c>
      <c r="N101" s="5"/>
      <c r="O101" s="5"/>
      <c r="P101" s="5" t="s">
        <v>33</v>
      </c>
      <c r="Q101" s="5"/>
      <c r="R101" s="5"/>
      <c r="S101" s="8" t="str">
        <f t="shared" ref="S101:S114" si="18">TRIM(CLEAN(B101))&amp;"|"&amp;TRIM(CLEAN(D101))</f>
        <v>1055|M9</v>
      </c>
      <c r="T101" s="9" t="str">
        <f t="shared" ref="T101:T114" si="19">IF(N101="","Pending",N101)</f>
        <v>Pending</v>
      </c>
      <c r="U101" s="9">
        <f t="shared" ref="U101:U114" si="20">IF(I101="","",YEAR(I101))</f>
        <v>2026</v>
      </c>
      <c r="V101" s="10" t="str">
        <f t="shared" ref="V101:V114" si="21">IF(P101="N/A","No OOS",IF(ISNUMBER(FIND("OOS Closed",Q101)),"Closed","Open"))</f>
        <v>No OOS</v>
      </c>
      <c r="W101" s="9" t="str">
        <f t="shared" si="16"/>
        <v>Week 4 of May</v>
      </c>
    </row>
    <row r="102" spans="1:23" x14ac:dyDescent="0.3">
      <c r="A102" s="11" t="s">
        <v>91</v>
      </c>
      <c r="B102" s="11" t="s">
        <v>95</v>
      </c>
      <c r="C102" s="11" t="s">
        <v>85</v>
      </c>
      <c r="D102" s="11" t="s">
        <v>62</v>
      </c>
      <c r="E102" s="11" t="s">
        <v>41</v>
      </c>
      <c r="F102" s="12">
        <v>45795</v>
      </c>
      <c r="G102" s="12">
        <v>45800</v>
      </c>
      <c r="H102" s="12">
        <v>45814</v>
      </c>
      <c r="I102" s="12">
        <v>45807</v>
      </c>
      <c r="J102" s="12">
        <v>45837</v>
      </c>
      <c r="K102" s="13">
        <f t="shared" si="17"/>
        <v>7</v>
      </c>
      <c r="L102" s="11" t="s">
        <v>30</v>
      </c>
      <c r="M102" s="11" t="s">
        <v>31</v>
      </c>
      <c r="N102" s="11"/>
      <c r="O102" s="11"/>
      <c r="P102" s="11" t="s">
        <v>33</v>
      </c>
      <c r="Q102" s="11"/>
      <c r="R102" s="11"/>
      <c r="S102" s="8" t="str">
        <f t="shared" si="18"/>
        <v>1055|M6</v>
      </c>
      <c r="T102" s="9" t="str">
        <f t="shared" si="19"/>
        <v>Pending</v>
      </c>
      <c r="U102" s="9">
        <f t="shared" si="20"/>
        <v>2025</v>
      </c>
      <c r="V102" s="10" t="str">
        <f t="shared" si="21"/>
        <v>No OOS</v>
      </c>
      <c r="W102" s="9" t="str">
        <f t="shared" si="16"/>
        <v>Week 5 of May</v>
      </c>
    </row>
    <row r="103" spans="1:23" x14ac:dyDescent="0.3">
      <c r="A103" s="5" t="s">
        <v>98</v>
      </c>
      <c r="B103" s="5" t="s">
        <v>99</v>
      </c>
      <c r="C103" s="5" t="s">
        <v>52</v>
      </c>
      <c r="D103" s="5" t="s">
        <v>50</v>
      </c>
      <c r="E103" s="5" t="s">
        <v>41</v>
      </c>
      <c r="F103" s="5"/>
      <c r="G103" s="5"/>
      <c r="H103" s="5"/>
      <c r="I103" s="5"/>
      <c r="J103" s="5"/>
      <c r="K103" s="5" t="str">
        <f t="shared" si="17"/>
        <v/>
      </c>
      <c r="L103" s="5"/>
      <c r="M103" s="5"/>
      <c r="N103" s="5"/>
      <c r="O103" s="5"/>
      <c r="P103" s="5" t="s">
        <v>54</v>
      </c>
      <c r="Q103" s="5" t="s">
        <v>58</v>
      </c>
      <c r="R103" s="5"/>
      <c r="S103" s="8" t="str">
        <f t="shared" si="18"/>
        <v>1067|M36</v>
      </c>
      <c r="T103" s="9" t="str">
        <f t="shared" si="19"/>
        <v>Pending</v>
      </c>
      <c r="U103" s="9" t="str">
        <f t="shared" si="20"/>
        <v/>
      </c>
      <c r="V103" s="10" t="str">
        <f t="shared" si="21"/>
        <v>Closed</v>
      </c>
      <c r="W103" s="9" t="str">
        <f t="shared" si="16"/>
        <v/>
      </c>
    </row>
    <row r="104" spans="1:23" x14ac:dyDescent="0.3">
      <c r="A104" s="11" t="s">
        <v>98</v>
      </c>
      <c r="B104" s="11" t="s">
        <v>99</v>
      </c>
      <c r="C104" s="11" t="s">
        <v>52</v>
      </c>
      <c r="D104" s="11" t="s">
        <v>38</v>
      </c>
      <c r="E104" s="11" t="s">
        <v>36</v>
      </c>
      <c r="F104" s="12">
        <v>46047</v>
      </c>
      <c r="G104" s="12">
        <v>46052</v>
      </c>
      <c r="H104" s="12">
        <v>46066</v>
      </c>
      <c r="I104" s="12">
        <v>46059</v>
      </c>
      <c r="J104" s="12">
        <v>46089</v>
      </c>
      <c r="K104" s="13">
        <f t="shared" si="17"/>
        <v>7</v>
      </c>
      <c r="L104" s="11" t="s">
        <v>30</v>
      </c>
      <c r="M104" s="11" t="s">
        <v>31</v>
      </c>
      <c r="N104" s="11" t="s">
        <v>44</v>
      </c>
      <c r="O104" s="11"/>
      <c r="P104" s="11" t="s">
        <v>33</v>
      </c>
      <c r="Q104" s="11"/>
      <c r="R104" s="11"/>
      <c r="S104" s="8" t="str">
        <f t="shared" si="18"/>
        <v>1067|M24</v>
      </c>
      <c r="T104" s="9" t="str">
        <f t="shared" si="19"/>
        <v>Not Completed</v>
      </c>
      <c r="U104" s="9">
        <f t="shared" si="20"/>
        <v>2026</v>
      </c>
      <c r="V104" s="10" t="str">
        <f t="shared" si="21"/>
        <v>No OOS</v>
      </c>
      <c r="W104" s="9" t="str">
        <f t="shared" si="16"/>
        <v>Week 1 of February</v>
      </c>
    </row>
    <row r="105" spans="1:23" x14ac:dyDescent="0.3">
      <c r="A105" s="5" t="s">
        <v>98</v>
      </c>
      <c r="B105" s="5" t="s">
        <v>99</v>
      </c>
      <c r="C105" s="5" t="s">
        <v>52</v>
      </c>
      <c r="D105" s="5" t="s">
        <v>39</v>
      </c>
      <c r="E105" s="5" t="s">
        <v>29</v>
      </c>
      <c r="F105" s="6">
        <v>45792</v>
      </c>
      <c r="G105" s="6">
        <v>45788</v>
      </c>
      <c r="H105" s="6">
        <v>45802</v>
      </c>
      <c r="I105" s="6">
        <v>45795</v>
      </c>
      <c r="J105" s="6">
        <v>45825</v>
      </c>
      <c r="K105" s="7">
        <f t="shared" si="17"/>
        <v>7</v>
      </c>
      <c r="L105" s="5" t="s">
        <v>30</v>
      </c>
      <c r="M105" s="5" t="s">
        <v>31</v>
      </c>
      <c r="N105" s="5" t="s">
        <v>32</v>
      </c>
      <c r="O105" s="5"/>
      <c r="P105" s="5" t="s">
        <v>54</v>
      </c>
      <c r="Q105" s="5" t="s">
        <v>58</v>
      </c>
      <c r="R105" s="5" t="s">
        <v>34</v>
      </c>
      <c r="S105" s="8" t="str">
        <f t="shared" si="18"/>
        <v>1067|M1</v>
      </c>
      <c r="T105" s="9" t="str">
        <f t="shared" si="19"/>
        <v>Completed</v>
      </c>
      <c r="U105" s="9">
        <f t="shared" si="20"/>
        <v>2025</v>
      </c>
      <c r="V105" s="10" t="str">
        <f t="shared" si="21"/>
        <v>Closed</v>
      </c>
      <c r="W105" s="9" t="str">
        <f t="shared" si="16"/>
        <v>Week 3 of May</v>
      </c>
    </row>
    <row r="106" spans="1:23" x14ac:dyDescent="0.3">
      <c r="A106" s="11" t="s">
        <v>98</v>
      </c>
      <c r="B106" s="11" t="s">
        <v>99</v>
      </c>
      <c r="C106" s="11" t="s">
        <v>52</v>
      </c>
      <c r="D106" s="11" t="s">
        <v>35</v>
      </c>
      <c r="E106" s="11" t="s">
        <v>41</v>
      </c>
      <c r="F106" s="12">
        <v>45997</v>
      </c>
      <c r="G106" s="12">
        <v>46001</v>
      </c>
      <c r="H106" s="12">
        <v>46015</v>
      </c>
      <c r="I106" s="12">
        <v>46008</v>
      </c>
      <c r="J106" s="12">
        <v>46038</v>
      </c>
      <c r="K106" s="13">
        <f t="shared" si="17"/>
        <v>7</v>
      </c>
      <c r="L106" s="11" t="s">
        <v>30</v>
      </c>
      <c r="M106" s="11" t="s">
        <v>31</v>
      </c>
      <c r="N106" s="11"/>
      <c r="O106" s="11"/>
      <c r="P106" s="11" t="s">
        <v>37</v>
      </c>
      <c r="Q106" s="11" t="s">
        <v>58</v>
      </c>
      <c r="R106" s="11"/>
      <c r="S106" s="8" t="str">
        <f t="shared" si="18"/>
        <v>1067|M3</v>
      </c>
      <c r="T106" s="9" t="str">
        <f t="shared" si="19"/>
        <v>Pending</v>
      </c>
      <c r="U106" s="9">
        <f t="shared" si="20"/>
        <v>2025</v>
      </c>
      <c r="V106" s="10" t="str">
        <f t="shared" si="21"/>
        <v>Closed</v>
      </c>
      <c r="W106" s="9" t="str">
        <f t="shared" si="16"/>
        <v>Week 3 of December</v>
      </c>
    </row>
    <row r="107" spans="1:23" x14ac:dyDescent="0.3">
      <c r="A107" s="5" t="s">
        <v>98</v>
      </c>
      <c r="B107" s="5" t="s">
        <v>99</v>
      </c>
      <c r="C107" s="5" t="s">
        <v>52</v>
      </c>
      <c r="D107" s="5" t="s">
        <v>62</v>
      </c>
      <c r="E107" s="5" t="s">
        <v>47</v>
      </c>
      <c r="F107" s="6">
        <v>45941</v>
      </c>
      <c r="G107" s="6">
        <v>45937</v>
      </c>
      <c r="H107" s="6">
        <v>45951</v>
      </c>
      <c r="I107" s="6">
        <v>45944</v>
      </c>
      <c r="J107" s="6">
        <v>45974</v>
      </c>
      <c r="K107" s="7">
        <f t="shared" si="17"/>
        <v>7</v>
      </c>
      <c r="L107" s="5" t="s">
        <v>30</v>
      </c>
      <c r="M107" s="5" t="s">
        <v>31</v>
      </c>
      <c r="N107" s="5"/>
      <c r="O107" s="5"/>
      <c r="P107" s="5" t="s">
        <v>33</v>
      </c>
      <c r="Q107" s="5"/>
      <c r="R107" s="5"/>
      <c r="S107" s="8" t="str">
        <f t="shared" si="18"/>
        <v>1067|M6</v>
      </c>
      <c r="T107" s="9" t="str">
        <f t="shared" si="19"/>
        <v>Pending</v>
      </c>
      <c r="U107" s="9">
        <f t="shared" si="20"/>
        <v>2025</v>
      </c>
      <c r="V107" s="10" t="str">
        <f t="shared" si="21"/>
        <v>No OOS</v>
      </c>
      <c r="W107" s="9" t="str">
        <f t="shared" si="16"/>
        <v>Week 2 of October</v>
      </c>
    </row>
    <row r="108" spans="1:23" x14ac:dyDescent="0.3">
      <c r="A108" s="11" t="s">
        <v>98</v>
      </c>
      <c r="B108" s="11" t="s">
        <v>99</v>
      </c>
      <c r="C108" s="11" t="s">
        <v>52</v>
      </c>
      <c r="D108" s="11" t="s">
        <v>28</v>
      </c>
      <c r="E108" s="11" t="s">
        <v>36</v>
      </c>
      <c r="F108" s="12">
        <v>45955</v>
      </c>
      <c r="G108" s="12">
        <v>45953</v>
      </c>
      <c r="H108" s="12">
        <v>45967</v>
      </c>
      <c r="I108" s="12">
        <v>45960</v>
      </c>
      <c r="J108" s="12">
        <v>45990</v>
      </c>
      <c r="K108" s="13">
        <f t="shared" si="17"/>
        <v>7</v>
      </c>
      <c r="L108" s="11" t="s">
        <v>30</v>
      </c>
      <c r="M108" s="11" t="s">
        <v>31</v>
      </c>
      <c r="N108" s="11"/>
      <c r="O108" s="11"/>
      <c r="P108" s="11" t="s">
        <v>61</v>
      </c>
      <c r="Q108" s="11" t="s">
        <v>58</v>
      </c>
      <c r="R108" s="11"/>
      <c r="S108" s="8" t="str">
        <f t="shared" si="18"/>
        <v>1067|M9</v>
      </c>
      <c r="T108" s="9" t="str">
        <f t="shared" si="19"/>
        <v>Pending</v>
      </c>
      <c r="U108" s="9">
        <f t="shared" si="20"/>
        <v>2025</v>
      </c>
      <c r="V108" s="10" t="str">
        <f t="shared" si="21"/>
        <v>Closed</v>
      </c>
      <c r="W108" s="9" t="str">
        <f t="shared" si="16"/>
        <v>Week 5 of October</v>
      </c>
    </row>
    <row r="109" spans="1:23" x14ac:dyDescent="0.3">
      <c r="A109" s="5" t="s">
        <v>98</v>
      </c>
      <c r="B109" s="5" t="s">
        <v>100</v>
      </c>
      <c r="C109" s="5" t="s">
        <v>49</v>
      </c>
      <c r="D109" s="5" t="s">
        <v>62</v>
      </c>
      <c r="E109" s="5" t="s">
        <v>29</v>
      </c>
      <c r="F109" s="6">
        <v>46020</v>
      </c>
      <c r="G109" s="6">
        <v>46019</v>
      </c>
      <c r="H109" s="6">
        <v>46033</v>
      </c>
      <c r="I109" s="6">
        <v>46026</v>
      </c>
      <c r="J109" s="6">
        <v>46056</v>
      </c>
      <c r="K109" s="7">
        <f t="shared" si="17"/>
        <v>7</v>
      </c>
      <c r="L109" s="5" t="s">
        <v>30</v>
      </c>
      <c r="M109" s="5" t="s">
        <v>31</v>
      </c>
      <c r="N109" s="5"/>
      <c r="O109" s="5"/>
      <c r="P109" s="5" t="s">
        <v>46</v>
      </c>
      <c r="Q109" s="5" t="s">
        <v>58</v>
      </c>
      <c r="R109" s="5"/>
      <c r="S109" s="8" t="str">
        <f t="shared" si="18"/>
        <v>1086|M6</v>
      </c>
      <c r="T109" s="9" t="str">
        <f t="shared" si="19"/>
        <v>Pending</v>
      </c>
      <c r="U109" s="9">
        <f t="shared" si="20"/>
        <v>2026</v>
      </c>
      <c r="V109" s="10" t="str">
        <f t="shared" si="21"/>
        <v>Closed</v>
      </c>
      <c r="W109" s="9" t="str">
        <f t="shared" si="16"/>
        <v>Week 1 of January</v>
      </c>
    </row>
    <row r="110" spans="1:23" x14ac:dyDescent="0.3">
      <c r="A110" s="11" t="s">
        <v>98</v>
      </c>
      <c r="B110" s="11" t="s">
        <v>100</v>
      </c>
      <c r="C110" s="11" t="s">
        <v>49</v>
      </c>
      <c r="D110" s="11" t="s">
        <v>28</v>
      </c>
      <c r="E110" s="11" t="s">
        <v>41</v>
      </c>
      <c r="F110" s="12">
        <v>46139</v>
      </c>
      <c r="G110" s="12">
        <v>46138</v>
      </c>
      <c r="H110" s="12">
        <v>46152</v>
      </c>
      <c r="I110" s="12">
        <v>46145</v>
      </c>
      <c r="J110" s="12">
        <v>46175</v>
      </c>
      <c r="K110" s="13">
        <f t="shared" si="17"/>
        <v>7</v>
      </c>
      <c r="L110" s="11" t="s">
        <v>30</v>
      </c>
      <c r="M110" s="11" t="s">
        <v>31</v>
      </c>
      <c r="N110" s="11" t="s">
        <v>32</v>
      </c>
      <c r="O110" s="11"/>
      <c r="P110" s="11" t="s">
        <v>46</v>
      </c>
      <c r="Q110" s="11" t="s">
        <v>58</v>
      </c>
      <c r="R110" s="11" t="s">
        <v>34</v>
      </c>
      <c r="S110" s="8" t="str">
        <f t="shared" si="18"/>
        <v>1086|M9</v>
      </c>
      <c r="T110" s="9" t="str">
        <f t="shared" si="19"/>
        <v>Completed</v>
      </c>
      <c r="U110" s="9">
        <f t="shared" si="20"/>
        <v>2026</v>
      </c>
      <c r="V110" s="10" t="str">
        <f t="shared" si="21"/>
        <v>Closed</v>
      </c>
      <c r="W110" s="9" t="str">
        <f t="shared" si="16"/>
        <v>Week 1 of May</v>
      </c>
    </row>
    <row r="111" spans="1:23" x14ac:dyDescent="0.3">
      <c r="A111" s="5" t="s">
        <v>98</v>
      </c>
      <c r="B111" s="5" t="s">
        <v>100</v>
      </c>
      <c r="C111" s="5" t="s">
        <v>49</v>
      </c>
      <c r="D111" s="5" t="s">
        <v>40</v>
      </c>
      <c r="E111" s="5" t="s">
        <v>29</v>
      </c>
      <c r="F111" s="6">
        <v>46158</v>
      </c>
      <c r="G111" s="6">
        <v>46161</v>
      </c>
      <c r="H111" s="6">
        <v>46175</v>
      </c>
      <c r="I111" s="6">
        <v>46168</v>
      </c>
      <c r="J111" s="6">
        <v>46198</v>
      </c>
      <c r="K111" s="7">
        <f t="shared" si="17"/>
        <v>7</v>
      </c>
      <c r="L111" s="5" t="s">
        <v>30</v>
      </c>
      <c r="M111" s="5" t="s">
        <v>31</v>
      </c>
      <c r="N111" s="5" t="s">
        <v>44</v>
      </c>
      <c r="O111" s="5"/>
      <c r="P111" s="5" t="s">
        <v>54</v>
      </c>
      <c r="Q111" s="5" t="s">
        <v>58</v>
      </c>
      <c r="R111" s="5"/>
      <c r="S111" s="8" t="str">
        <f t="shared" si="18"/>
        <v>1086|M12</v>
      </c>
      <c r="T111" s="9" t="str">
        <f t="shared" si="19"/>
        <v>Not Completed</v>
      </c>
      <c r="U111" s="9">
        <f t="shared" si="20"/>
        <v>2026</v>
      </c>
      <c r="V111" s="10" t="str">
        <f t="shared" si="21"/>
        <v>Closed</v>
      </c>
      <c r="W111" s="9" t="str">
        <f t="shared" si="16"/>
        <v>Week 4 of May</v>
      </c>
    </row>
    <row r="112" spans="1:23" x14ac:dyDescent="0.3">
      <c r="A112" s="11" t="s">
        <v>98</v>
      </c>
      <c r="B112" s="11" t="s">
        <v>100</v>
      </c>
      <c r="C112" s="11" t="s">
        <v>49</v>
      </c>
      <c r="D112" s="11" t="s">
        <v>38</v>
      </c>
      <c r="E112" s="11" t="s">
        <v>41</v>
      </c>
      <c r="F112" s="12">
        <v>46192</v>
      </c>
      <c r="G112" s="12">
        <v>46186</v>
      </c>
      <c r="H112" s="12">
        <v>46200</v>
      </c>
      <c r="I112" s="12">
        <v>46193</v>
      </c>
      <c r="J112" s="12">
        <v>46223</v>
      </c>
      <c r="K112" s="13">
        <f t="shared" si="17"/>
        <v>7</v>
      </c>
      <c r="L112" s="11" t="s">
        <v>30</v>
      </c>
      <c r="M112" s="11" t="s">
        <v>31</v>
      </c>
      <c r="N112" s="11"/>
      <c r="O112" s="11"/>
      <c r="P112" s="11" t="s">
        <v>33</v>
      </c>
      <c r="Q112" s="11"/>
      <c r="R112" s="11"/>
      <c r="S112" s="8" t="str">
        <f t="shared" si="18"/>
        <v>1086|M24</v>
      </c>
      <c r="T112" s="9" t="str">
        <f t="shared" si="19"/>
        <v>Pending</v>
      </c>
      <c r="U112" s="9">
        <f t="shared" si="20"/>
        <v>2026</v>
      </c>
      <c r="V112" s="10" t="str">
        <f t="shared" si="21"/>
        <v>No OOS</v>
      </c>
      <c r="W112" s="9" t="str">
        <f t="shared" si="16"/>
        <v>Week 3 of June</v>
      </c>
    </row>
    <row r="113" spans="1:23" x14ac:dyDescent="0.3">
      <c r="A113" s="5" t="s">
        <v>98</v>
      </c>
      <c r="B113" s="5" t="s">
        <v>100</v>
      </c>
      <c r="C113" s="5" t="s">
        <v>49</v>
      </c>
      <c r="D113" s="5" t="s">
        <v>50</v>
      </c>
      <c r="E113" s="5" t="s">
        <v>41</v>
      </c>
      <c r="F113" s="5"/>
      <c r="G113" s="5"/>
      <c r="H113" s="5"/>
      <c r="I113" s="5"/>
      <c r="J113" s="5"/>
      <c r="K113" s="5" t="str">
        <f t="shared" si="17"/>
        <v/>
      </c>
      <c r="L113" s="5"/>
      <c r="M113" s="5"/>
      <c r="N113" s="5"/>
      <c r="O113" s="5"/>
      <c r="P113" s="5" t="s">
        <v>33</v>
      </c>
      <c r="Q113" s="5"/>
      <c r="R113" s="5"/>
      <c r="S113" s="8" t="str">
        <f t="shared" si="18"/>
        <v>1086|M36</v>
      </c>
      <c r="T113" s="9" t="str">
        <f t="shared" si="19"/>
        <v>Pending</v>
      </c>
      <c r="U113" s="9" t="str">
        <f t="shared" si="20"/>
        <v/>
      </c>
      <c r="V113" s="10" t="str">
        <f t="shared" si="21"/>
        <v>No OOS</v>
      </c>
      <c r="W113" s="9" t="str">
        <f t="shared" si="16"/>
        <v/>
      </c>
    </row>
    <row r="114" spans="1:23" x14ac:dyDescent="0.3">
      <c r="A114" s="11" t="s">
        <v>98</v>
      </c>
      <c r="B114" s="11" t="s">
        <v>100</v>
      </c>
      <c r="C114" s="11" t="s">
        <v>49</v>
      </c>
      <c r="D114" s="11" t="s">
        <v>35</v>
      </c>
      <c r="E114" s="11" t="s">
        <v>36</v>
      </c>
      <c r="F114" s="12">
        <v>46056</v>
      </c>
      <c r="G114" s="12">
        <v>46060</v>
      </c>
      <c r="H114" s="12">
        <v>46074</v>
      </c>
      <c r="I114" s="12">
        <v>46067</v>
      </c>
      <c r="J114" s="12">
        <v>46097</v>
      </c>
      <c r="K114" s="13">
        <f t="shared" si="17"/>
        <v>7</v>
      </c>
      <c r="L114" s="11" t="s">
        <v>30</v>
      </c>
      <c r="M114" s="11" t="s">
        <v>31</v>
      </c>
      <c r="N114" s="11"/>
      <c r="O114" s="11" t="s">
        <v>101</v>
      </c>
      <c r="P114" s="11" t="s">
        <v>33</v>
      </c>
      <c r="Q114" s="11"/>
      <c r="R114" s="11"/>
      <c r="S114" s="8" t="str">
        <f t="shared" si="18"/>
        <v>1086|M3</v>
      </c>
      <c r="T114" s="9" t="str">
        <f t="shared" si="19"/>
        <v>Pending</v>
      </c>
      <c r="U114" s="9">
        <f t="shared" si="20"/>
        <v>2026</v>
      </c>
      <c r="V114" s="10" t="str">
        <f t="shared" si="21"/>
        <v>No OOS</v>
      </c>
      <c r="W114" s="9" t="str">
        <f t="shared" si="16"/>
        <v>Week 2 of February</v>
      </c>
    </row>
  </sheetData>
  <mergeCells count="2">
    <mergeCell ref="A1:W1"/>
    <mergeCell ref="A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"/>
  <sheetViews>
    <sheetView zoomScaleNormal="100" workbookViewId="0">
      <pane ySplit="3" topLeftCell="A4" activePane="bottomLeft" state="frozen"/>
      <selection pane="bottomLeft" sqref="A1:L1"/>
    </sheetView>
  </sheetViews>
  <sheetFormatPr baseColWidth="10" defaultColWidth="8.6640625" defaultRowHeight="14.4" x14ac:dyDescent="0.3"/>
  <cols>
    <col min="1" max="1" width="18" customWidth="1"/>
    <col min="2" max="2" width="14" customWidth="1"/>
    <col min="3" max="3" width="28" customWidth="1"/>
    <col min="4" max="4" width="12" customWidth="1"/>
    <col min="5" max="5" width="10" customWidth="1"/>
    <col min="6" max="6" width="14" customWidth="1"/>
    <col min="7" max="7" width="20" customWidth="1"/>
    <col min="8" max="8" width="22" customWidth="1"/>
    <col min="9" max="10" width="14" customWidth="1"/>
    <col min="11" max="11" width="22" customWidth="1"/>
    <col min="12" max="12" width="14" customWidth="1"/>
  </cols>
  <sheetData>
    <row r="1" spans="1:12" ht="18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.75" customHeight="1" x14ac:dyDescent="0.3">
      <c r="A2" s="1" t="s">
        <v>102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0" customHeight="1" x14ac:dyDescent="0.3">
      <c r="A3" s="3" t="s">
        <v>2</v>
      </c>
      <c r="B3" s="3" t="s">
        <v>3</v>
      </c>
      <c r="C3" s="3" t="s">
        <v>4</v>
      </c>
      <c r="D3" s="3" t="s">
        <v>103</v>
      </c>
      <c r="E3" s="3" t="s">
        <v>5</v>
      </c>
      <c r="F3" s="3" t="s">
        <v>104</v>
      </c>
      <c r="G3" s="3" t="s">
        <v>105</v>
      </c>
      <c r="H3" s="3" t="s">
        <v>106</v>
      </c>
      <c r="I3" s="3" t="s">
        <v>107</v>
      </c>
      <c r="J3" s="14" t="s">
        <v>15</v>
      </c>
      <c r="K3" s="14" t="s">
        <v>20</v>
      </c>
      <c r="L3" s="14" t="s">
        <v>108</v>
      </c>
    </row>
    <row r="4" spans="1:12" x14ac:dyDescent="0.3">
      <c r="A4" s="5" t="s">
        <v>25</v>
      </c>
      <c r="B4" s="5" t="s">
        <v>26</v>
      </c>
      <c r="C4" s="5" t="s">
        <v>27</v>
      </c>
      <c r="D4" s="5" t="s">
        <v>109</v>
      </c>
      <c r="E4" s="5" t="s">
        <v>28</v>
      </c>
      <c r="F4" s="5" t="s">
        <v>110</v>
      </c>
      <c r="G4" s="6">
        <v>45809</v>
      </c>
      <c r="H4" s="6">
        <v>45795</v>
      </c>
      <c r="I4" s="5" t="s">
        <v>111</v>
      </c>
      <c r="J4" s="15" t="str">
        <f>IF(ISNUMBER(IFERROR(INDEX('WEEKLY PULL-OUT SCHEDULE'!$T:$T,MATCH(K4,'WEEKLY PULL-OUT SCHEDULE'!$S:$S,0)),"")),"",IFERROR(INDEX('WEEKLY PULL-OUT SCHEDULE'!$T:$T,MATCH(K4,'WEEKLY PULL-OUT SCHEDULE'!$S:$S,0)),""))</f>
        <v>Completed</v>
      </c>
      <c r="K4" s="8" t="str">
        <f t="shared" ref="K4:K35" si="0">TRIM(CLEAN(B4))&amp;"|"&amp;TRIM(CLEAN(E4))</f>
        <v>801|M9</v>
      </c>
      <c r="L4" s="10" t="str">
        <f t="shared" ref="L4:L35" si="1">IF(F4="","Pending","Issued")</f>
        <v>Issued</v>
      </c>
    </row>
    <row r="5" spans="1:12" x14ac:dyDescent="0.3">
      <c r="A5" s="11" t="s">
        <v>25</v>
      </c>
      <c r="B5" s="11" t="s">
        <v>26</v>
      </c>
      <c r="C5" s="11" t="s">
        <v>27</v>
      </c>
      <c r="D5" s="11" t="s">
        <v>112</v>
      </c>
      <c r="E5" s="11" t="s">
        <v>38</v>
      </c>
      <c r="F5" s="11" t="s">
        <v>113</v>
      </c>
      <c r="G5" s="11"/>
      <c r="H5" s="11"/>
      <c r="I5" s="11" t="s">
        <v>114</v>
      </c>
      <c r="J5" s="15" t="str">
        <f>IF(ISNUMBER(IFERROR(INDEX('WEEKLY PULL-OUT SCHEDULE'!$T:$T,MATCH(K5,'WEEKLY PULL-OUT SCHEDULE'!$S:$S,0)),"")),"",IFERROR(INDEX('WEEKLY PULL-OUT SCHEDULE'!$T:$T,MATCH(K5,'WEEKLY PULL-OUT SCHEDULE'!$S:$S,0)),""))</f>
        <v>Pending</v>
      </c>
      <c r="K5" s="8" t="str">
        <f t="shared" si="0"/>
        <v>801|M24</v>
      </c>
      <c r="L5" s="10" t="str">
        <f t="shared" si="1"/>
        <v>Issued</v>
      </c>
    </row>
    <row r="6" spans="1:12" x14ac:dyDescent="0.3">
      <c r="A6" s="5" t="s">
        <v>25</v>
      </c>
      <c r="B6" s="5" t="s">
        <v>26</v>
      </c>
      <c r="C6" s="5" t="s">
        <v>27</v>
      </c>
      <c r="D6" s="5" t="s">
        <v>115</v>
      </c>
      <c r="E6" s="5" t="s">
        <v>39</v>
      </c>
      <c r="F6" s="5"/>
      <c r="G6" s="6">
        <v>45845</v>
      </c>
      <c r="H6" s="5"/>
      <c r="I6" s="5"/>
      <c r="J6" s="15" t="str">
        <f>IF(ISNUMBER(IFERROR(INDEX('WEEKLY PULL-OUT SCHEDULE'!$T:$T,MATCH(K6,'WEEKLY PULL-OUT SCHEDULE'!$S:$S,0)),"")),"",IFERROR(INDEX('WEEKLY PULL-OUT SCHEDULE'!$T:$T,MATCH(K6,'WEEKLY PULL-OUT SCHEDULE'!$S:$S,0)),""))</f>
        <v>Pending</v>
      </c>
      <c r="K6" s="8" t="str">
        <f t="shared" si="0"/>
        <v>801|M1</v>
      </c>
      <c r="L6" s="10" t="str">
        <f t="shared" si="1"/>
        <v>Pending</v>
      </c>
    </row>
    <row r="7" spans="1:12" x14ac:dyDescent="0.3">
      <c r="A7" s="11" t="s">
        <v>25</v>
      </c>
      <c r="B7" s="11" t="s">
        <v>26</v>
      </c>
      <c r="C7" s="11" t="s">
        <v>27</v>
      </c>
      <c r="D7" s="11" t="s">
        <v>116</v>
      </c>
      <c r="E7" s="11" t="s">
        <v>40</v>
      </c>
      <c r="F7" s="11"/>
      <c r="G7" s="12">
        <v>46206</v>
      </c>
      <c r="H7" s="11"/>
      <c r="I7" s="11"/>
      <c r="J7" s="15" t="str">
        <f>IF(ISNUMBER(IFERROR(INDEX('WEEKLY PULL-OUT SCHEDULE'!$T:$T,MATCH(K7,'WEEKLY PULL-OUT SCHEDULE'!$S:$S,0)),"")),"",IFERROR(INDEX('WEEKLY PULL-OUT SCHEDULE'!$T:$T,MATCH(K7,'WEEKLY PULL-OUT SCHEDULE'!$S:$S,0)),""))</f>
        <v>Pending</v>
      </c>
      <c r="K7" s="8" t="str">
        <f t="shared" si="0"/>
        <v>801|M12</v>
      </c>
      <c r="L7" s="10" t="str">
        <f t="shared" si="1"/>
        <v>Pending</v>
      </c>
    </row>
    <row r="8" spans="1:12" x14ac:dyDescent="0.3">
      <c r="A8" s="5" t="s">
        <v>25</v>
      </c>
      <c r="B8" s="5" t="s">
        <v>42</v>
      </c>
      <c r="C8" s="5" t="s">
        <v>43</v>
      </c>
      <c r="D8" s="5" t="s">
        <v>117</v>
      </c>
      <c r="E8" s="5" t="s">
        <v>28</v>
      </c>
      <c r="F8" s="5"/>
      <c r="G8" s="6">
        <v>45833</v>
      </c>
      <c r="H8" s="5"/>
      <c r="I8" s="5"/>
      <c r="J8" s="15" t="str">
        <f>IF(ISNUMBER(IFERROR(INDEX('WEEKLY PULL-OUT SCHEDULE'!$T:$T,MATCH(K8,'WEEKLY PULL-OUT SCHEDULE'!$S:$S,0)),"")),"",IFERROR(INDEX('WEEKLY PULL-OUT SCHEDULE'!$T:$T,MATCH(K8,'WEEKLY PULL-OUT SCHEDULE'!$S:$S,0)),""))</f>
        <v>Not Completed</v>
      </c>
      <c r="K8" s="8" t="str">
        <f t="shared" si="0"/>
        <v>821|M9</v>
      </c>
      <c r="L8" s="10" t="str">
        <f t="shared" si="1"/>
        <v>Pending</v>
      </c>
    </row>
    <row r="9" spans="1:12" x14ac:dyDescent="0.3">
      <c r="A9" s="11" t="s">
        <v>25</v>
      </c>
      <c r="B9" s="11" t="s">
        <v>42</v>
      </c>
      <c r="C9" s="11" t="s">
        <v>43</v>
      </c>
      <c r="D9" s="11" t="s">
        <v>118</v>
      </c>
      <c r="E9" s="11" t="s">
        <v>45</v>
      </c>
      <c r="F9" s="11"/>
      <c r="G9" s="12">
        <v>45979</v>
      </c>
      <c r="H9" s="11"/>
      <c r="I9" s="11"/>
      <c r="J9" s="15" t="str">
        <f>IF(ISNUMBER(IFERROR(INDEX('WEEKLY PULL-OUT SCHEDULE'!$T:$T,MATCH(K9,'WEEKLY PULL-OUT SCHEDULE'!$S:$S,0)),"")),"",IFERROR(INDEX('WEEKLY PULL-OUT SCHEDULE'!$T:$T,MATCH(K9,'WEEKLY PULL-OUT SCHEDULE'!$S:$S,0)),""))</f>
        <v>Pending</v>
      </c>
      <c r="K9" s="8" t="str">
        <f t="shared" si="0"/>
        <v>821|M18</v>
      </c>
      <c r="L9" s="10" t="str">
        <f t="shared" si="1"/>
        <v>Pending</v>
      </c>
    </row>
    <row r="10" spans="1:12" x14ac:dyDescent="0.3">
      <c r="A10" s="5" t="s">
        <v>25</v>
      </c>
      <c r="B10" s="5" t="s">
        <v>42</v>
      </c>
      <c r="C10" s="5" t="s">
        <v>43</v>
      </c>
      <c r="D10" s="5" t="s">
        <v>119</v>
      </c>
      <c r="E10" s="5" t="s">
        <v>39</v>
      </c>
      <c r="F10" s="5"/>
      <c r="G10" s="6">
        <v>45829</v>
      </c>
      <c r="H10" s="5"/>
      <c r="I10" s="5"/>
      <c r="J10" s="15" t="str">
        <f>IF(ISNUMBER(IFERROR(INDEX('WEEKLY PULL-OUT SCHEDULE'!$T:$T,MATCH(K10,'WEEKLY PULL-OUT SCHEDULE'!$S:$S,0)),"")),"",IFERROR(INDEX('WEEKLY PULL-OUT SCHEDULE'!$T:$T,MATCH(K10,'WEEKLY PULL-OUT SCHEDULE'!$S:$S,0)),""))</f>
        <v>Not Completed</v>
      </c>
      <c r="K10" s="8" t="str">
        <f t="shared" si="0"/>
        <v>821|M1</v>
      </c>
      <c r="L10" s="10" t="str">
        <f t="shared" si="1"/>
        <v>Pending</v>
      </c>
    </row>
    <row r="11" spans="1:12" x14ac:dyDescent="0.3">
      <c r="A11" s="11" t="s">
        <v>25</v>
      </c>
      <c r="B11" s="11" t="s">
        <v>42</v>
      </c>
      <c r="C11" s="11" t="s">
        <v>43</v>
      </c>
      <c r="D11" s="11" t="s">
        <v>120</v>
      </c>
      <c r="E11" s="11" t="s">
        <v>38</v>
      </c>
      <c r="F11" s="11"/>
      <c r="G11" s="12">
        <v>46120</v>
      </c>
      <c r="H11" s="11"/>
      <c r="I11" s="11"/>
      <c r="J11" s="15" t="str">
        <f>IF(ISNUMBER(IFERROR(INDEX('WEEKLY PULL-OUT SCHEDULE'!$T:$T,MATCH(K11,'WEEKLY PULL-OUT SCHEDULE'!$S:$S,0)),"")),"",IFERROR(INDEX('WEEKLY PULL-OUT SCHEDULE'!$T:$T,MATCH(K11,'WEEKLY PULL-OUT SCHEDULE'!$S:$S,0)),""))</f>
        <v>Pending</v>
      </c>
      <c r="K11" s="8" t="str">
        <f t="shared" si="0"/>
        <v>821|M24</v>
      </c>
      <c r="L11" s="10" t="str">
        <f t="shared" si="1"/>
        <v>Pending</v>
      </c>
    </row>
    <row r="12" spans="1:12" x14ac:dyDescent="0.3">
      <c r="A12" s="5" t="s">
        <v>25</v>
      </c>
      <c r="B12" s="5" t="s">
        <v>42</v>
      </c>
      <c r="C12" s="5" t="s">
        <v>43</v>
      </c>
      <c r="D12" s="5" t="s">
        <v>121</v>
      </c>
      <c r="E12" s="5" t="s">
        <v>35</v>
      </c>
      <c r="F12" s="5"/>
      <c r="G12" s="6">
        <v>45910</v>
      </c>
      <c r="H12" s="5"/>
      <c r="I12" s="5"/>
      <c r="J12" s="15" t="str">
        <f>IF(ISNUMBER(IFERROR(INDEX('WEEKLY PULL-OUT SCHEDULE'!$T:$T,MATCH(K12,'WEEKLY PULL-OUT SCHEDULE'!$S:$S,0)),"")),"",IFERROR(INDEX('WEEKLY PULL-OUT SCHEDULE'!$T:$T,MATCH(K12,'WEEKLY PULL-OUT SCHEDULE'!$S:$S,0)),""))</f>
        <v>Completed</v>
      </c>
      <c r="K12" s="8" t="str">
        <f t="shared" si="0"/>
        <v>821|M3</v>
      </c>
      <c r="L12" s="10" t="str">
        <f t="shared" si="1"/>
        <v>Pending</v>
      </c>
    </row>
    <row r="13" spans="1:12" x14ac:dyDescent="0.3">
      <c r="A13" s="11" t="s">
        <v>25</v>
      </c>
      <c r="B13" s="11" t="s">
        <v>48</v>
      </c>
      <c r="C13" s="11" t="s">
        <v>49</v>
      </c>
      <c r="D13" s="11" t="s">
        <v>122</v>
      </c>
      <c r="E13" s="11" t="s">
        <v>50</v>
      </c>
      <c r="F13" s="11"/>
      <c r="G13" s="11"/>
      <c r="H13" s="11"/>
      <c r="I13" s="11"/>
      <c r="J13" s="15" t="str">
        <f>IF(ISNUMBER(IFERROR(INDEX('WEEKLY PULL-OUT SCHEDULE'!$T:$T,MATCH(K13,'WEEKLY PULL-OUT SCHEDULE'!$S:$S,0)),"")),"",IFERROR(INDEX('WEEKLY PULL-OUT SCHEDULE'!$T:$T,MATCH(K13,'WEEKLY PULL-OUT SCHEDULE'!$S:$S,0)),""))</f>
        <v>Pending</v>
      </c>
      <c r="K13" s="8" t="str">
        <f t="shared" si="0"/>
        <v>832|M36</v>
      </c>
      <c r="L13" s="10" t="str">
        <f t="shared" si="1"/>
        <v>Pending</v>
      </c>
    </row>
    <row r="14" spans="1:12" x14ac:dyDescent="0.3">
      <c r="A14" s="5" t="s">
        <v>25</v>
      </c>
      <c r="B14" s="5" t="s">
        <v>48</v>
      </c>
      <c r="C14" s="5" t="s">
        <v>49</v>
      </c>
      <c r="D14" s="5" t="s">
        <v>123</v>
      </c>
      <c r="E14" s="5" t="s">
        <v>28</v>
      </c>
      <c r="F14" s="5"/>
      <c r="G14" s="6">
        <v>46091</v>
      </c>
      <c r="H14" s="5"/>
      <c r="I14" s="5"/>
      <c r="J14" s="15" t="str">
        <f>IF(ISNUMBER(IFERROR(INDEX('WEEKLY PULL-OUT SCHEDULE'!$T:$T,MATCH(K14,'WEEKLY PULL-OUT SCHEDULE'!$S:$S,0)),"")),"",IFERROR(INDEX('WEEKLY PULL-OUT SCHEDULE'!$T:$T,MATCH(K14,'WEEKLY PULL-OUT SCHEDULE'!$S:$S,0)),""))</f>
        <v>Pending</v>
      </c>
      <c r="K14" s="8" t="str">
        <f t="shared" si="0"/>
        <v>832|M9</v>
      </c>
      <c r="L14" s="10" t="str">
        <f t="shared" si="1"/>
        <v>Pending</v>
      </c>
    </row>
    <row r="15" spans="1:12" x14ac:dyDescent="0.3">
      <c r="A15" s="11" t="s">
        <v>25</v>
      </c>
      <c r="B15" s="11" t="s">
        <v>48</v>
      </c>
      <c r="C15" s="11" t="s">
        <v>49</v>
      </c>
      <c r="D15" s="11" t="s">
        <v>124</v>
      </c>
      <c r="E15" s="11" t="s">
        <v>45</v>
      </c>
      <c r="F15" s="11"/>
      <c r="G15" s="11"/>
      <c r="H15" s="11"/>
      <c r="I15" s="11"/>
      <c r="J15" s="15" t="str">
        <f>IF(ISNUMBER(IFERROR(INDEX('WEEKLY PULL-OUT SCHEDULE'!$T:$T,MATCH(K15,'WEEKLY PULL-OUT SCHEDULE'!$S:$S,0)),"")),"",IFERROR(INDEX('WEEKLY PULL-OUT SCHEDULE'!$T:$T,MATCH(K15,'WEEKLY PULL-OUT SCHEDULE'!$S:$S,0)),""))</f>
        <v>Pending</v>
      </c>
      <c r="K15" s="8" t="str">
        <f t="shared" si="0"/>
        <v>832|M18</v>
      </c>
      <c r="L15" s="10" t="str">
        <f t="shared" si="1"/>
        <v>Pending</v>
      </c>
    </row>
    <row r="16" spans="1:12" x14ac:dyDescent="0.3">
      <c r="A16" s="5" t="s">
        <v>25</v>
      </c>
      <c r="B16" s="5" t="s">
        <v>48</v>
      </c>
      <c r="C16" s="5" t="s">
        <v>49</v>
      </c>
      <c r="D16" s="5" t="s">
        <v>125</v>
      </c>
      <c r="E16" s="5" t="s">
        <v>38</v>
      </c>
      <c r="F16" s="5"/>
      <c r="G16" s="6">
        <v>46009</v>
      </c>
      <c r="H16" s="5"/>
      <c r="I16" s="5"/>
      <c r="J16" s="15" t="str">
        <f>IF(ISNUMBER(IFERROR(INDEX('WEEKLY PULL-OUT SCHEDULE'!$T:$T,MATCH(K16,'WEEKLY PULL-OUT SCHEDULE'!$S:$S,0)),"")),"",IFERROR(INDEX('WEEKLY PULL-OUT SCHEDULE'!$T:$T,MATCH(K16,'WEEKLY PULL-OUT SCHEDULE'!$S:$S,0)),""))</f>
        <v>Completed</v>
      </c>
      <c r="K16" s="8" t="str">
        <f t="shared" si="0"/>
        <v>832|M24</v>
      </c>
      <c r="L16" s="10" t="str">
        <f t="shared" si="1"/>
        <v>Pending</v>
      </c>
    </row>
    <row r="17" spans="1:12" x14ac:dyDescent="0.3">
      <c r="A17" s="11" t="s">
        <v>25</v>
      </c>
      <c r="B17" s="11" t="s">
        <v>51</v>
      </c>
      <c r="C17" s="11" t="s">
        <v>52</v>
      </c>
      <c r="D17" s="11" t="s">
        <v>126</v>
      </c>
      <c r="E17" s="11" t="s">
        <v>40</v>
      </c>
      <c r="F17" s="11"/>
      <c r="G17" s="12">
        <v>45943</v>
      </c>
      <c r="H17" s="11"/>
      <c r="I17" s="11"/>
      <c r="J17" s="15" t="str">
        <f>IF(ISNUMBER(IFERROR(INDEX('WEEKLY PULL-OUT SCHEDULE'!$T:$T,MATCH(K17,'WEEKLY PULL-OUT SCHEDULE'!$S:$S,0)),"")),"",IFERROR(INDEX('WEEKLY PULL-OUT SCHEDULE'!$T:$T,MATCH(K17,'WEEKLY PULL-OUT SCHEDULE'!$S:$S,0)),""))</f>
        <v>Not Completed</v>
      </c>
      <c r="K17" s="8" t="str">
        <f t="shared" si="0"/>
        <v>833|M12</v>
      </c>
      <c r="L17" s="10" t="str">
        <f t="shared" si="1"/>
        <v>Pending</v>
      </c>
    </row>
    <row r="18" spans="1:12" x14ac:dyDescent="0.3">
      <c r="A18" s="5" t="s">
        <v>25</v>
      </c>
      <c r="B18" s="5" t="s">
        <v>51</v>
      </c>
      <c r="C18" s="5" t="s">
        <v>52</v>
      </c>
      <c r="D18" s="5" t="s">
        <v>127</v>
      </c>
      <c r="E18" s="5" t="s">
        <v>38</v>
      </c>
      <c r="F18" s="5"/>
      <c r="G18" s="6">
        <v>45847</v>
      </c>
      <c r="H18" s="5"/>
      <c r="I18" s="5"/>
      <c r="J18" s="15" t="str">
        <f>IF(ISNUMBER(IFERROR(INDEX('WEEKLY PULL-OUT SCHEDULE'!$T:$T,MATCH(K18,'WEEKLY PULL-OUT SCHEDULE'!$S:$S,0)),"")),"",IFERROR(INDEX('WEEKLY PULL-OUT SCHEDULE'!$T:$T,MATCH(K18,'WEEKLY PULL-OUT SCHEDULE'!$S:$S,0)),""))</f>
        <v>Pending</v>
      </c>
      <c r="K18" s="8" t="str">
        <f t="shared" si="0"/>
        <v>833|M24</v>
      </c>
      <c r="L18" s="10" t="str">
        <f t="shared" si="1"/>
        <v>Pending</v>
      </c>
    </row>
    <row r="19" spans="1:12" x14ac:dyDescent="0.3">
      <c r="A19" s="11" t="s">
        <v>55</v>
      </c>
      <c r="B19" s="11" t="s">
        <v>56</v>
      </c>
      <c r="C19" s="11" t="s">
        <v>57</v>
      </c>
      <c r="D19" s="11" t="s">
        <v>128</v>
      </c>
      <c r="E19" s="11" t="s">
        <v>39</v>
      </c>
      <c r="F19" s="11"/>
      <c r="G19" s="11"/>
      <c r="H19" s="11"/>
      <c r="I19" s="11"/>
      <c r="J19" s="15" t="str">
        <f>IF(ISNUMBER(IFERROR(INDEX('WEEKLY PULL-OUT SCHEDULE'!$T:$T,MATCH(K19,'WEEKLY PULL-OUT SCHEDULE'!$S:$S,0)),"")),"",IFERROR(INDEX('WEEKLY PULL-OUT SCHEDULE'!$T:$T,MATCH(K19,'WEEKLY PULL-OUT SCHEDULE'!$S:$S,0)),""))</f>
        <v>Pending</v>
      </c>
      <c r="K19" s="8" t="str">
        <f t="shared" si="0"/>
        <v>843|M1</v>
      </c>
      <c r="L19" s="10" t="str">
        <f t="shared" si="1"/>
        <v>Pending</v>
      </c>
    </row>
    <row r="20" spans="1:12" x14ac:dyDescent="0.3">
      <c r="A20" s="5" t="s">
        <v>55</v>
      </c>
      <c r="B20" s="5" t="s">
        <v>56</v>
      </c>
      <c r="C20" s="5" t="s">
        <v>57</v>
      </c>
      <c r="D20" s="5" t="s">
        <v>129</v>
      </c>
      <c r="E20" s="5" t="s">
        <v>35</v>
      </c>
      <c r="F20" s="5" t="s">
        <v>130</v>
      </c>
      <c r="G20" s="6">
        <v>46074</v>
      </c>
      <c r="H20" s="6">
        <v>46066</v>
      </c>
      <c r="I20" s="5" t="s">
        <v>131</v>
      </c>
      <c r="J20" s="15" t="str">
        <f>IF(ISNUMBER(IFERROR(INDEX('WEEKLY PULL-OUT SCHEDULE'!$T:$T,MATCH(K20,'WEEKLY PULL-OUT SCHEDULE'!$S:$S,0)),"")),"",IFERROR(INDEX('WEEKLY PULL-OUT SCHEDULE'!$T:$T,MATCH(K20,'WEEKLY PULL-OUT SCHEDULE'!$S:$S,0)),""))</f>
        <v>Pending</v>
      </c>
      <c r="K20" s="8" t="str">
        <f t="shared" si="0"/>
        <v>843|M3</v>
      </c>
      <c r="L20" s="10" t="str">
        <f t="shared" si="1"/>
        <v>Issued</v>
      </c>
    </row>
    <row r="21" spans="1:12" x14ac:dyDescent="0.3">
      <c r="A21" s="11" t="s">
        <v>55</v>
      </c>
      <c r="B21" s="11" t="s">
        <v>56</v>
      </c>
      <c r="C21" s="11" t="s">
        <v>57</v>
      </c>
      <c r="D21" s="11" t="s">
        <v>132</v>
      </c>
      <c r="E21" s="11" t="s">
        <v>40</v>
      </c>
      <c r="F21" s="11"/>
      <c r="G21" s="12">
        <v>46136</v>
      </c>
      <c r="H21" s="11"/>
      <c r="I21" s="11"/>
      <c r="J21" s="15" t="str">
        <f>IF(ISNUMBER(IFERROR(INDEX('WEEKLY PULL-OUT SCHEDULE'!$T:$T,MATCH(K21,'WEEKLY PULL-OUT SCHEDULE'!$S:$S,0)),"")),"",IFERROR(INDEX('WEEKLY PULL-OUT SCHEDULE'!$T:$T,MATCH(K21,'WEEKLY PULL-OUT SCHEDULE'!$S:$S,0)),""))</f>
        <v>Pending</v>
      </c>
      <c r="K21" s="8" t="str">
        <f t="shared" si="0"/>
        <v>843|M12</v>
      </c>
      <c r="L21" s="10" t="str">
        <f t="shared" si="1"/>
        <v>Pending</v>
      </c>
    </row>
    <row r="22" spans="1:12" x14ac:dyDescent="0.3">
      <c r="A22" s="5" t="s">
        <v>55</v>
      </c>
      <c r="B22" s="5" t="s">
        <v>56</v>
      </c>
      <c r="C22" s="5" t="s">
        <v>57</v>
      </c>
      <c r="D22" s="5" t="s">
        <v>133</v>
      </c>
      <c r="E22" s="5" t="s">
        <v>50</v>
      </c>
      <c r="F22" s="5"/>
      <c r="G22" s="6">
        <v>45966</v>
      </c>
      <c r="H22" s="5"/>
      <c r="I22" s="5"/>
      <c r="J22" s="15" t="str">
        <f>IF(ISNUMBER(IFERROR(INDEX('WEEKLY PULL-OUT SCHEDULE'!$T:$T,MATCH(K22,'WEEKLY PULL-OUT SCHEDULE'!$S:$S,0)),"")),"",IFERROR(INDEX('WEEKLY PULL-OUT SCHEDULE'!$T:$T,MATCH(K22,'WEEKLY PULL-OUT SCHEDULE'!$S:$S,0)),""))</f>
        <v>Pending</v>
      </c>
      <c r="K22" s="8" t="str">
        <f t="shared" si="0"/>
        <v>843|M36</v>
      </c>
      <c r="L22" s="10" t="str">
        <f t="shared" si="1"/>
        <v>Pending</v>
      </c>
    </row>
    <row r="23" spans="1:12" x14ac:dyDescent="0.3">
      <c r="A23" s="11" t="s">
        <v>55</v>
      </c>
      <c r="B23" s="11" t="s">
        <v>59</v>
      </c>
      <c r="C23" s="11" t="s">
        <v>60</v>
      </c>
      <c r="D23" s="11" t="s">
        <v>134</v>
      </c>
      <c r="E23" s="11" t="s">
        <v>38</v>
      </c>
      <c r="F23" s="11"/>
      <c r="G23" s="12">
        <v>46244</v>
      </c>
      <c r="H23" s="11"/>
      <c r="I23" s="11"/>
      <c r="J23" s="15" t="str">
        <f>IF(ISNUMBER(IFERROR(INDEX('WEEKLY PULL-OUT SCHEDULE'!$T:$T,MATCH(K23,'WEEKLY PULL-OUT SCHEDULE'!$S:$S,0)),"")),"",IFERROR(INDEX('WEEKLY PULL-OUT SCHEDULE'!$T:$T,MATCH(K23,'WEEKLY PULL-OUT SCHEDULE'!$S:$S,0)),""))</f>
        <v>Pending</v>
      </c>
      <c r="K23" s="8" t="str">
        <f t="shared" si="0"/>
        <v>851|M24</v>
      </c>
      <c r="L23" s="10" t="str">
        <f t="shared" si="1"/>
        <v>Pending</v>
      </c>
    </row>
    <row r="24" spans="1:12" x14ac:dyDescent="0.3">
      <c r="A24" s="5" t="s">
        <v>55</v>
      </c>
      <c r="B24" s="5" t="s">
        <v>59</v>
      </c>
      <c r="C24" s="5" t="s">
        <v>60</v>
      </c>
      <c r="D24" s="5" t="s">
        <v>135</v>
      </c>
      <c r="E24" s="5" t="s">
        <v>62</v>
      </c>
      <c r="F24" s="5"/>
      <c r="G24" s="6">
        <v>45842</v>
      </c>
      <c r="H24" s="5"/>
      <c r="I24" s="5"/>
      <c r="J24" s="15" t="str">
        <f>IF(ISNUMBER(IFERROR(INDEX('WEEKLY PULL-OUT SCHEDULE'!$T:$T,MATCH(K24,'WEEKLY PULL-OUT SCHEDULE'!$S:$S,0)),"")),"",IFERROR(INDEX('WEEKLY PULL-OUT SCHEDULE'!$T:$T,MATCH(K24,'WEEKLY PULL-OUT SCHEDULE'!$S:$S,0)),""))</f>
        <v>Pending</v>
      </c>
      <c r="K24" s="8" t="str">
        <f t="shared" si="0"/>
        <v>851|M6</v>
      </c>
      <c r="L24" s="10" t="str">
        <f t="shared" si="1"/>
        <v>Pending</v>
      </c>
    </row>
    <row r="25" spans="1:12" x14ac:dyDescent="0.3">
      <c r="A25" s="11" t="s">
        <v>64</v>
      </c>
      <c r="B25" s="11" t="s">
        <v>65</v>
      </c>
      <c r="C25" s="11" t="s">
        <v>27</v>
      </c>
      <c r="D25" s="11" t="s">
        <v>136</v>
      </c>
      <c r="E25" s="11" t="s">
        <v>45</v>
      </c>
      <c r="F25" s="11"/>
      <c r="G25" s="12">
        <v>45864</v>
      </c>
      <c r="H25" s="11"/>
      <c r="I25" s="11"/>
      <c r="J25" s="15" t="str">
        <f>IF(ISNUMBER(IFERROR(INDEX('WEEKLY PULL-OUT SCHEDULE'!$T:$T,MATCH(K25,'WEEKLY PULL-OUT SCHEDULE'!$S:$S,0)),"")),"",IFERROR(INDEX('WEEKLY PULL-OUT SCHEDULE'!$T:$T,MATCH(K25,'WEEKLY PULL-OUT SCHEDULE'!$S:$S,0)),""))</f>
        <v>Not Completed</v>
      </c>
      <c r="K25" s="8" t="str">
        <f t="shared" si="0"/>
        <v>853|M18</v>
      </c>
      <c r="L25" s="10" t="str">
        <f t="shared" si="1"/>
        <v>Pending</v>
      </c>
    </row>
    <row r="26" spans="1:12" x14ac:dyDescent="0.3">
      <c r="A26" s="5" t="s">
        <v>64</v>
      </c>
      <c r="B26" s="5" t="s">
        <v>65</v>
      </c>
      <c r="C26" s="5" t="s">
        <v>27</v>
      </c>
      <c r="D26" s="5" t="s">
        <v>137</v>
      </c>
      <c r="E26" s="5" t="s">
        <v>38</v>
      </c>
      <c r="F26" s="5"/>
      <c r="G26" s="6">
        <v>46074</v>
      </c>
      <c r="H26" s="5"/>
      <c r="I26" s="5"/>
      <c r="J26" s="15" t="str">
        <f>IF(ISNUMBER(IFERROR(INDEX('WEEKLY PULL-OUT SCHEDULE'!$T:$T,MATCH(K26,'WEEKLY PULL-OUT SCHEDULE'!$S:$S,0)),"")),"",IFERROR(INDEX('WEEKLY PULL-OUT SCHEDULE'!$T:$T,MATCH(K26,'WEEKLY PULL-OUT SCHEDULE'!$S:$S,0)),""))</f>
        <v>Completed</v>
      </c>
      <c r="K26" s="8" t="str">
        <f t="shared" si="0"/>
        <v>853|M24</v>
      </c>
      <c r="L26" s="10" t="str">
        <f t="shared" si="1"/>
        <v>Pending</v>
      </c>
    </row>
    <row r="27" spans="1:12" x14ac:dyDescent="0.3">
      <c r="A27" s="11" t="s">
        <v>64</v>
      </c>
      <c r="B27" s="11" t="s">
        <v>65</v>
      </c>
      <c r="C27" s="11" t="s">
        <v>27</v>
      </c>
      <c r="D27" s="11" t="s">
        <v>138</v>
      </c>
      <c r="E27" s="11" t="s">
        <v>39</v>
      </c>
      <c r="F27" s="11"/>
      <c r="G27" s="12">
        <v>46001</v>
      </c>
      <c r="H27" s="11"/>
      <c r="I27" s="11"/>
      <c r="J27" s="15" t="str">
        <f>IF(ISNUMBER(IFERROR(INDEX('WEEKLY PULL-OUT SCHEDULE'!$T:$T,MATCH(K27,'WEEKLY PULL-OUT SCHEDULE'!$S:$S,0)),"")),"",IFERROR(INDEX('WEEKLY PULL-OUT SCHEDULE'!$T:$T,MATCH(K27,'WEEKLY PULL-OUT SCHEDULE'!$S:$S,0)),""))</f>
        <v>Pending</v>
      </c>
      <c r="K27" s="8" t="str">
        <f t="shared" si="0"/>
        <v>853|M1</v>
      </c>
      <c r="L27" s="10" t="str">
        <f t="shared" si="1"/>
        <v>Pending</v>
      </c>
    </row>
    <row r="28" spans="1:12" x14ac:dyDescent="0.3">
      <c r="A28" s="5" t="s">
        <v>64</v>
      </c>
      <c r="B28" s="5" t="s">
        <v>65</v>
      </c>
      <c r="C28" s="5" t="s">
        <v>27</v>
      </c>
      <c r="D28" s="5" t="s">
        <v>139</v>
      </c>
      <c r="E28" s="5" t="s">
        <v>35</v>
      </c>
      <c r="F28" s="5"/>
      <c r="G28" s="6">
        <v>45992</v>
      </c>
      <c r="H28" s="5"/>
      <c r="I28" s="5"/>
      <c r="J28" s="15" t="str">
        <f>IF(ISNUMBER(IFERROR(INDEX('WEEKLY PULL-OUT SCHEDULE'!$T:$T,MATCH(K28,'WEEKLY PULL-OUT SCHEDULE'!$S:$S,0)),"")),"",IFERROR(INDEX('WEEKLY PULL-OUT SCHEDULE'!$T:$T,MATCH(K28,'WEEKLY PULL-OUT SCHEDULE'!$S:$S,0)),""))</f>
        <v>Pending</v>
      </c>
      <c r="K28" s="8" t="str">
        <f t="shared" si="0"/>
        <v>853|M3</v>
      </c>
      <c r="L28" s="10" t="str">
        <f t="shared" si="1"/>
        <v>Pending</v>
      </c>
    </row>
    <row r="29" spans="1:12" x14ac:dyDescent="0.3">
      <c r="A29" s="11" t="s">
        <v>64</v>
      </c>
      <c r="B29" s="11" t="s">
        <v>65</v>
      </c>
      <c r="C29" s="11" t="s">
        <v>27</v>
      </c>
      <c r="D29" s="11" t="s">
        <v>140</v>
      </c>
      <c r="E29" s="11" t="s">
        <v>40</v>
      </c>
      <c r="F29" s="11"/>
      <c r="G29" s="12">
        <v>45822</v>
      </c>
      <c r="H29" s="11"/>
      <c r="I29" s="11"/>
      <c r="J29" s="15" t="str">
        <f>IF(ISNUMBER(IFERROR(INDEX('WEEKLY PULL-OUT SCHEDULE'!$T:$T,MATCH(K29,'WEEKLY PULL-OUT SCHEDULE'!$S:$S,0)),"")),"",IFERROR(INDEX('WEEKLY PULL-OUT SCHEDULE'!$T:$T,MATCH(K29,'WEEKLY PULL-OUT SCHEDULE'!$S:$S,0)),""))</f>
        <v>Pending</v>
      </c>
      <c r="K29" s="8" t="str">
        <f t="shared" si="0"/>
        <v>853|M12</v>
      </c>
      <c r="L29" s="10" t="str">
        <f t="shared" si="1"/>
        <v>Pending</v>
      </c>
    </row>
    <row r="30" spans="1:12" x14ac:dyDescent="0.3">
      <c r="A30" s="5" t="s">
        <v>64</v>
      </c>
      <c r="B30" s="5" t="s">
        <v>65</v>
      </c>
      <c r="C30" s="5" t="s">
        <v>27</v>
      </c>
      <c r="D30" s="5" t="s">
        <v>141</v>
      </c>
      <c r="E30" s="5" t="s">
        <v>50</v>
      </c>
      <c r="F30" s="5"/>
      <c r="G30" s="6">
        <v>46050</v>
      </c>
      <c r="H30" s="5"/>
      <c r="I30" s="5"/>
      <c r="J30" s="15" t="str">
        <f>IF(ISNUMBER(IFERROR(INDEX('WEEKLY PULL-OUT SCHEDULE'!$T:$T,MATCH(K30,'WEEKLY PULL-OUT SCHEDULE'!$S:$S,0)),"")),"",IFERROR(INDEX('WEEKLY PULL-OUT SCHEDULE'!$T:$T,MATCH(K30,'WEEKLY PULL-OUT SCHEDULE'!$S:$S,0)),""))</f>
        <v>Pending</v>
      </c>
      <c r="K30" s="8" t="str">
        <f t="shared" si="0"/>
        <v>853|M36</v>
      </c>
      <c r="L30" s="10" t="str">
        <f t="shared" si="1"/>
        <v>Pending</v>
      </c>
    </row>
    <row r="31" spans="1:12" x14ac:dyDescent="0.3">
      <c r="A31" s="11" t="s">
        <v>64</v>
      </c>
      <c r="B31" s="11" t="s">
        <v>69</v>
      </c>
      <c r="C31" s="11" t="s">
        <v>70</v>
      </c>
      <c r="D31" s="11" t="s">
        <v>142</v>
      </c>
      <c r="E31" s="11" t="s">
        <v>28</v>
      </c>
      <c r="F31" s="11"/>
      <c r="G31" s="12">
        <v>46084</v>
      </c>
      <c r="H31" s="11"/>
      <c r="I31" s="11"/>
      <c r="J31" s="15" t="str">
        <f>IF(ISNUMBER(IFERROR(INDEX('WEEKLY PULL-OUT SCHEDULE'!$T:$T,MATCH(K31,'WEEKLY PULL-OUT SCHEDULE'!$S:$S,0)),"")),"",IFERROR(INDEX('WEEKLY PULL-OUT SCHEDULE'!$T:$T,MATCH(K31,'WEEKLY PULL-OUT SCHEDULE'!$S:$S,0)),""))</f>
        <v>Pending</v>
      </c>
      <c r="K31" s="8" t="str">
        <f t="shared" si="0"/>
        <v>856|M9</v>
      </c>
      <c r="L31" s="10" t="str">
        <f t="shared" si="1"/>
        <v>Pending</v>
      </c>
    </row>
    <row r="32" spans="1:12" x14ac:dyDescent="0.3">
      <c r="A32" s="5" t="s">
        <v>64</v>
      </c>
      <c r="B32" s="5" t="s">
        <v>69</v>
      </c>
      <c r="C32" s="5" t="s">
        <v>70</v>
      </c>
      <c r="D32" s="5" t="s">
        <v>143</v>
      </c>
      <c r="E32" s="5" t="s">
        <v>50</v>
      </c>
      <c r="F32" s="5" t="s">
        <v>144</v>
      </c>
      <c r="G32" s="6">
        <v>46060</v>
      </c>
      <c r="H32" s="6">
        <v>46060</v>
      </c>
      <c r="I32" s="5" t="s">
        <v>145</v>
      </c>
      <c r="J32" s="15" t="str">
        <f>IF(ISNUMBER(IFERROR(INDEX('WEEKLY PULL-OUT SCHEDULE'!$T:$T,MATCH(K32,'WEEKLY PULL-OUT SCHEDULE'!$S:$S,0)),"")),"",IFERROR(INDEX('WEEKLY PULL-OUT SCHEDULE'!$T:$T,MATCH(K32,'WEEKLY PULL-OUT SCHEDULE'!$S:$S,0)),""))</f>
        <v>Pending</v>
      </c>
      <c r="K32" s="8" t="str">
        <f t="shared" si="0"/>
        <v>856|M36</v>
      </c>
      <c r="L32" s="10" t="str">
        <f t="shared" si="1"/>
        <v>Issued</v>
      </c>
    </row>
    <row r="33" spans="1:12" x14ac:dyDescent="0.3">
      <c r="A33" s="11" t="s">
        <v>64</v>
      </c>
      <c r="B33" s="11" t="s">
        <v>69</v>
      </c>
      <c r="C33" s="11" t="s">
        <v>70</v>
      </c>
      <c r="D33" s="11" t="s">
        <v>146</v>
      </c>
      <c r="E33" s="11" t="s">
        <v>39</v>
      </c>
      <c r="F33" s="11" t="s">
        <v>147</v>
      </c>
      <c r="G33" s="12">
        <v>46136</v>
      </c>
      <c r="H33" s="12">
        <v>46141</v>
      </c>
      <c r="I33" s="11" t="s">
        <v>148</v>
      </c>
      <c r="J33" s="15" t="str">
        <f>IF(ISNUMBER(IFERROR(INDEX('WEEKLY PULL-OUT SCHEDULE'!$T:$T,MATCH(K33,'WEEKLY PULL-OUT SCHEDULE'!$S:$S,0)),"")),"",IFERROR(INDEX('WEEKLY PULL-OUT SCHEDULE'!$T:$T,MATCH(K33,'WEEKLY PULL-OUT SCHEDULE'!$S:$S,0)),""))</f>
        <v>Pending</v>
      </c>
      <c r="K33" s="8" t="str">
        <f t="shared" si="0"/>
        <v>856|M1</v>
      </c>
      <c r="L33" s="10" t="str">
        <f t="shared" si="1"/>
        <v>Issued</v>
      </c>
    </row>
    <row r="34" spans="1:12" x14ac:dyDescent="0.3">
      <c r="A34" s="5" t="s">
        <v>64</v>
      </c>
      <c r="B34" s="5" t="s">
        <v>71</v>
      </c>
      <c r="C34" s="5" t="s">
        <v>49</v>
      </c>
      <c r="D34" s="5" t="s">
        <v>149</v>
      </c>
      <c r="E34" s="5" t="s">
        <v>35</v>
      </c>
      <c r="F34" s="5"/>
      <c r="G34" s="6">
        <v>45860</v>
      </c>
      <c r="H34" s="5"/>
      <c r="I34" s="5"/>
      <c r="J34" s="15" t="str">
        <f>IF(ISNUMBER(IFERROR(INDEX('WEEKLY PULL-OUT SCHEDULE'!$T:$T,MATCH(K34,'WEEKLY PULL-OUT SCHEDULE'!$S:$S,0)),"")),"",IFERROR(INDEX('WEEKLY PULL-OUT SCHEDULE'!$T:$T,MATCH(K34,'WEEKLY PULL-OUT SCHEDULE'!$S:$S,0)),""))</f>
        <v>Pending</v>
      </c>
      <c r="K34" s="8" t="str">
        <f t="shared" si="0"/>
        <v>875|M3</v>
      </c>
      <c r="L34" s="10" t="str">
        <f t="shared" si="1"/>
        <v>Pending</v>
      </c>
    </row>
    <row r="35" spans="1:12" x14ac:dyDescent="0.3">
      <c r="A35" s="11" t="s">
        <v>64</v>
      </c>
      <c r="B35" s="11" t="s">
        <v>71</v>
      </c>
      <c r="C35" s="11" t="s">
        <v>49</v>
      </c>
      <c r="D35" s="11" t="s">
        <v>150</v>
      </c>
      <c r="E35" s="11" t="s">
        <v>40</v>
      </c>
      <c r="F35" s="11"/>
      <c r="G35" s="12">
        <v>46219</v>
      </c>
      <c r="H35" s="11"/>
      <c r="I35" s="11"/>
      <c r="J35" s="15" t="str">
        <f>IF(ISNUMBER(IFERROR(INDEX('WEEKLY PULL-OUT SCHEDULE'!$T:$T,MATCH(K35,'WEEKLY PULL-OUT SCHEDULE'!$S:$S,0)),"")),"",IFERROR(INDEX('WEEKLY PULL-OUT SCHEDULE'!$T:$T,MATCH(K35,'WEEKLY PULL-OUT SCHEDULE'!$S:$S,0)),""))</f>
        <v>Pending</v>
      </c>
      <c r="K35" s="8" t="str">
        <f t="shared" si="0"/>
        <v>875|M12</v>
      </c>
      <c r="L35" s="10" t="str">
        <f t="shared" si="1"/>
        <v>Pending</v>
      </c>
    </row>
    <row r="36" spans="1:12" x14ac:dyDescent="0.3">
      <c r="A36" s="5" t="s">
        <v>64</v>
      </c>
      <c r="B36" s="5" t="s">
        <v>71</v>
      </c>
      <c r="C36" s="5" t="s">
        <v>49</v>
      </c>
      <c r="D36" s="5" t="s">
        <v>151</v>
      </c>
      <c r="E36" s="5" t="s">
        <v>50</v>
      </c>
      <c r="F36" s="5"/>
      <c r="G36" s="6">
        <v>45861</v>
      </c>
      <c r="H36" s="5"/>
      <c r="I36" s="5"/>
      <c r="J36" s="15" t="str">
        <f>IF(ISNUMBER(IFERROR(INDEX('WEEKLY PULL-OUT SCHEDULE'!$T:$T,MATCH(K36,'WEEKLY PULL-OUT SCHEDULE'!$S:$S,0)),"")),"",IFERROR(INDEX('WEEKLY PULL-OUT SCHEDULE'!$T:$T,MATCH(K36,'WEEKLY PULL-OUT SCHEDULE'!$S:$S,0)),""))</f>
        <v>Completed</v>
      </c>
      <c r="K36" s="8" t="str">
        <f t="shared" ref="K36:K67" si="2">TRIM(CLEAN(B36))&amp;"|"&amp;TRIM(CLEAN(E36))</f>
        <v>875|M36</v>
      </c>
      <c r="L36" s="10" t="str">
        <f t="shared" ref="L36:L67" si="3">IF(F36="","Pending","Issued")</f>
        <v>Pending</v>
      </c>
    </row>
    <row r="37" spans="1:12" x14ac:dyDescent="0.3">
      <c r="A37" s="11" t="s">
        <v>64</v>
      </c>
      <c r="B37" s="11" t="s">
        <v>73</v>
      </c>
      <c r="C37" s="11" t="s">
        <v>49</v>
      </c>
      <c r="D37" s="11" t="s">
        <v>152</v>
      </c>
      <c r="E37" s="11" t="s">
        <v>28</v>
      </c>
      <c r="F37" s="11"/>
      <c r="G37" s="12">
        <v>46226</v>
      </c>
      <c r="H37" s="11"/>
      <c r="I37" s="11"/>
      <c r="J37" s="15" t="str">
        <f>IF(ISNUMBER(IFERROR(INDEX('WEEKLY PULL-OUT SCHEDULE'!$T:$T,MATCH(K37,'WEEKLY PULL-OUT SCHEDULE'!$S:$S,0)),"")),"",IFERROR(INDEX('WEEKLY PULL-OUT SCHEDULE'!$T:$T,MATCH(K37,'WEEKLY PULL-OUT SCHEDULE'!$S:$S,0)),""))</f>
        <v>Completed</v>
      </c>
      <c r="K37" s="8" t="str">
        <f t="shared" si="2"/>
        <v>882|M9</v>
      </c>
      <c r="L37" s="10" t="str">
        <f t="shared" si="3"/>
        <v>Pending</v>
      </c>
    </row>
    <row r="38" spans="1:12" x14ac:dyDescent="0.3">
      <c r="A38" s="5" t="s">
        <v>64</v>
      </c>
      <c r="B38" s="5" t="s">
        <v>73</v>
      </c>
      <c r="C38" s="5" t="s">
        <v>49</v>
      </c>
      <c r="D38" s="5" t="s">
        <v>153</v>
      </c>
      <c r="E38" s="5" t="s">
        <v>45</v>
      </c>
      <c r="F38" s="5"/>
      <c r="G38" s="6">
        <v>46119</v>
      </c>
      <c r="H38" s="5"/>
      <c r="I38" s="5"/>
      <c r="J38" s="15" t="str">
        <f>IF(ISNUMBER(IFERROR(INDEX('WEEKLY PULL-OUT SCHEDULE'!$T:$T,MATCH(K38,'WEEKLY PULL-OUT SCHEDULE'!$S:$S,0)),"")),"",IFERROR(INDEX('WEEKLY PULL-OUT SCHEDULE'!$T:$T,MATCH(K38,'WEEKLY PULL-OUT SCHEDULE'!$S:$S,0)),""))</f>
        <v>Not Completed</v>
      </c>
      <c r="K38" s="8" t="str">
        <f t="shared" si="2"/>
        <v>882|M18</v>
      </c>
      <c r="L38" s="10" t="str">
        <f t="shared" si="3"/>
        <v>Pending</v>
      </c>
    </row>
    <row r="39" spans="1:12" x14ac:dyDescent="0.3">
      <c r="A39" s="11" t="s">
        <v>64</v>
      </c>
      <c r="B39" s="11" t="s">
        <v>73</v>
      </c>
      <c r="C39" s="11" t="s">
        <v>49</v>
      </c>
      <c r="D39" s="11" t="s">
        <v>154</v>
      </c>
      <c r="E39" s="11" t="s">
        <v>38</v>
      </c>
      <c r="F39" s="11"/>
      <c r="G39" s="11"/>
      <c r="H39" s="11"/>
      <c r="I39" s="11"/>
      <c r="J39" s="15" t="str">
        <f>IF(ISNUMBER(IFERROR(INDEX('WEEKLY PULL-OUT SCHEDULE'!$T:$T,MATCH(K39,'WEEKLY PULL-OUT SCHEDULE'!$S:$S,0)),"")),"",IFERROR(INDEX('WEEKLY PULL-OUT SCHEDULE'!$T:$T,MATCH(K39,'WEEKLY PULL-OUT SCHEDULE'!$S:$S,0)),""))</f>
        <v>Pending</v>
      </c>
      <c r="K39" s="8" t="str">
        <f t="shared" si="2"/>
        <v>882|M24</v>
      </c>
      <c r="L39" s="10" t="str">
        <f t="shared" si="3"/>
        <v>Pending</v>
      </c>
    </row>
    <row r="40" spans="1:12" x14ac:dyDescent="0.3">
      <c r="A40" s="5" t="s">
        <v>64</v>
      </c>
      <c r="B40" s="5" t="s">
        <v>73</v>
      </c>
      <c r="C40" s="5" t="s">
        <v>49</v>
      </c>
      <c r="D40" s="5" t="s">
        <v>155</v>
      </c>
      <c r="E40" s="5" t="s">
        <v>62</v>
      </c>
      <c r="F40" s="5"/>
      <c r="G40" s="5"/>
      <c r="H40" s="5"/>
      <c r="I40" s="5"/>
      <c r="J40" s="15" t="str">
        <f>IF(ISNUMBER(IFERROR(INDEX('WEEKLY PULL-OUT SCHEDULE'!$T:$T,MATCH(K40,'WEEKLY PULL-OUT SCHEDULE'!$S:$S,0)),"")),"",IFERROR(INDEX('WEEKLY PULL-OUT SCHEDULE'!$T:$T,MATCH(K40,'WEEKLY PULL-OUT SCHEDULE'!$S:$S,0)),""))</f>
        <v>Pending</v>
      </c>
      <c r="K40" s="8" t="str">
        <f t="shared" si="2"/>
        <v>882|M6</v>
      </c>
      <c r="L40" s="10" t="str">
        <f t="shared" si="3"/>
        <v>Pending</v>
      </c>
    </row>
    <row r="41" spans="1:12" x14ac:dyDescent="0.3">
      <c r="A41" s="11" t="s">
        <v>64</v>
      </c>
      <c r="B41" s="11" t="s">
        <v>73</v>
      </c>
      <c r="C41" s="11" t="s">
        <v>49</v>
      </c>
      <c r="D41" s="11" t="s">
        <v>156</v>
      </c>
      <c r="E41" s="11" t="s">
        <v>50</v>
      </c>
      <c r="F41" s="11"/>
      <c r="G41" s="12">
        <v>46233</v>
      </c>
      <c r="H41" s="11"/>
      <c r="I41" s="11"/>
      <c r="J41" s="15" t="str">
        <f>IF(ISNUMBER(IFERROR(INDEX('WEEKLY PULL-OUT SCHEDULE'!$T:$T,MATCH(K41,'WEEKLY PULL-OUT SCHEDULE'!$S:$S,0)),"")),"",IFERROR(INDEX('WEEKLY PULL-OUT SCHEDULE'!$T:$T,MATCH(K41,'WEEKLY PULL-OUT SCHEDULE'!$S:$S,0)),""))</f>
        <v>Pending</v>
      </c>
      <c r="K41" s="8" t="str">
        <f t="shared" si="2"/>
        <v>882|M36</v>
      </c>
      <c r="L41" s="10" t="str">
        <f t="shared" si="3"/>
        <v>Pending</v>
      </c>
    </row>
    <row r="42" spans="1:12" x14ac:dyDescent="0.3">
      <c r="A42" s="5" t="s">
        <v>74</v>
      </c>
      <c r="B42" s="5" t="s">
        <v>75</v>
      </c>
      <c r="C42" s="5" t="s">
        <v>52</v>
      </c>
      <c r="D42" s="5" t="s">
        <v>157</v>
      </c>
      <c r="E42" s="5" t="s">
        <v>28</v>
      </c>
      <c r="F42" s="5"/>
      <c r="G42" s="6">
        <v>45805</v>
      </c>
      <c r="H42" s="5"/>
      <c r="I42" s="5"/>
      <c r="J42" s="15" t="str">
        <f>IF(ISNUMBER(IFERROR(INDEX('WEEKLY PULL-OUT SCHEDULE'!$T:$T,MATCH(K42,'WEEKLY PULL-OUT SCHEDULE'!$S:$S,0)),"")),"",IFERROR(INDEX('WEEKLY PULL-OUT SCHEDULE'!$T:$T,MATCH(K42,'WEEKLY PULL-OUT SCHEDULE'!$S:$S,0)),""))</f>
        <v>Pending</v>
      </c>
      <c r="K42" s="8" t="str">
        <f t="shared" si="2"/>
        <v>896|M9</v>
      </c>
      <c r="L42" s="10" t="str">
        <f t="shared" si="3"/>
        <v>Pending</v>
      </c>
    </row>
    <row r="43" spans="1:12" x14ac:dyDescent="0.3">
      <c r="A43" s="11" t="s">
        <v>74</v>
      </c>
      <c r="B43" s="11" t="s">
        <v>75</v>
      </c>
      <c r="C43" s="11" t="s">
        <v>52</v>
      </c>
      <c r="D43" s="11" t="s">
        <v>158</v>
      </c>
      <c r="E43" s="11" t="s">
        <v>38</v>
      </c>
      <c r="F43" s="11" t="s">
        <v>159</v>
      </c>
      <c r="G43" s="12">
        <v>45848</v>
      </c>
      <c r="H43" s="12">
        <v>45854</v>
      </c>
      <c r="I43" s="11" t="s">
        <v>160</v>
      </c>
      <c r="J43" s="15" t="str">
        <f>IF(ISNUMBER(IFERROR(INDEX('WEEKLY PULL-OUT SCHEDULE'!$T:$T,MATCH(K43,'WEEKLY PULL-OUT SCHEDULE'!$S:$S,0)),"")),"",IFERROR(INDEX('WEEKLY PULL-OUT SCHEDULE'!$T:$T,MATCH(K43,'WEEKLY PULL-OUT SCHEDULE'!$S:$S,0)),""))</f>
        <v>Completed</v>
      </c>
      <c r="K43" s="8" t="str">
        <f t="shared" si="2"/>
        <v>896|M24</v>
      </c>
      <c r="L43" s="10" t="str">
        <f t="shared" si="3"/>
        <v>Issued</v>
      </c>
    </row>
    <row r="44" spans="1:12" x14ac:dyDescent="0.3">
      <c r="A44" s="5" t="s">
        <v>74</v>
      </c>
      <c r="B44" s="5" t="s">
        <v>75</v>
      </c>
      <c r="C44" s="5" t="s">
        <v>52</v>
      </c>
      <c r="D44" s="5" t="s">
        <v>161</v>
      </c>
      <c r="E44" s="5" t="s">
        <v>35</v>
      </c>
      <c r="F44" s="5"/>
      <c r="G44" s="6">
        <v>46239</v>
      </c>
      <c r="H44" s="5"/>
      <c r="I44" s="5"/>
      <c r="J44" s="15" t="str">
        <f>IF(ISNUMBER(IFERROR(INDEX('WEEKLY PULL-OUT SCHEDULE'!$T:$T,MATCH(K44,'WEEKLY PULL-OUT SCHEDULE'!$S:$S,0)),"")),"",IFERROR(INDEX('WEEKLY PULL-OUT SCHEDULE'!$T:$T,MATCH(K44,'WEEKLY PULL-OUT SCHEDULE'!$S:$S,0)),""))</f>
        <v>Not Completed</v>
      </c>
      <c r="K44" s="8" t="str">
        <f t="shared" si="2"/>
        <v>896|M3</v>
      </c>
      <c r="L44" s="10" t="str">
        <f t="shared" si="3"/>
        <v>Pending</v>
      </c>
    </row>
    <row r="45" spans="1:12" x14ac:dyDescent="0.3">
      <c r="A45" s="11" t="s">
        <v>74</v>
      </c>
      <c r="B45" s="11" t="s">
        <v>75</v>
      </c>
      <c r="C45" s="11" t="s">
        <v>52</v>
      </c>
      <c r="D45" s="11" t="s">
        <v>162</v>
      </c>
      <c r="E45" s="11" t="s">
        <v>45</v>
      </c>
      <c r="F45" s="11"/>
      <c r="G45" s="12">
        <v>45828</v>
      </c>
      <c r="H45" s="11"/>
      <c r="I45" s="11"/>
      <c r="J45" s="15" t="str">
        <f>IF(ISNUMBER(IFERROR(INDEX('WEEKLY PULL-OUT SCHEDULE'!$T:$T,MATCH(K45,'WEEKLY PULL-OUT SCHEDULE'!$S:$S,0)),"")),"",IFERROR(INDEX('WEEKLY PULL-OUT SCHEDULE'!$T:$T,MATCH(K45,'WEEKLY PULL-OUT SCHEDULE'!$S:$S,0)),""))</f>
        <v>Pending</v>
      </c>
      <c r="K45" s="8" t="str">
        <f t="shared" si="2"/>
        <v>896|M18</v>
      </c>
      <c r="L45" s="10" t="str">
        <f t="shared" si="3"/>
        <v>Pending</v>
      </c>
    </row>
    <row r="46" spans="1:12" x14ac:dyDescent="0.3">
      <c r="A46" s="5" t="s">
        <v>74</v>
      </c>
      <c r="B46" s="5" t="s">
        <v>76</v>
      </c>
      <c r="C46" s="5" t="s">
        <v>52</v>
      </c>
      <c r="D46" s="5" t="s">
        <v>163</v>
      </c>
      <c r="E46" s="5" t="s">
        <v>62</v>
      </c>
      <c r="F46" s="5"/>
      <c r="G46" s="6">
        <v>45852</v>
      </c>
      <c r="H46" s="5"/>
      <c r="I46" s="5"/>
      <c r="J46" s="15" t="str">
        <f>IF(ISNUMBER(IFERROR(INDEX('WEEKLY PULL-OUT SCHEDULE'!$T:$T,MATCH(K46,'WEEKLY PULL-OUT SCHEDULE'!$S:$S,0)),"")),"",IFERROR(INDEX('WEEKLY PULL-OUT SCHEDULE'!$T:$T,MATCH(K46,'WEEKLY PULL-OUT SCHEDULE'!$S:$S,0)),""))</f>
        <v>Pending</v>
      </c>
      <c r="K46" s="8" t="str">
        <f t="shared" si="2"/>
        <v>907|M6</v>
      </c>
      <c r="L46" s="10" t="str">
        <f t="shared" si="3"/>
        <v>Pending</v>
      </c>
    </row>
    <row r="47" spans="1:12" x14ac:dyDescent="0.3">
      <c r="A47" s="11" t="s">
        <v>74</v>
      </c>
      <c r="B47" s="11" t="s">
        <v>76</v>
      </c>
      <c r="C47" s="11" t="s">
        <v>52</v>
      </c>
      <c r="D47" s="11" t="s">
        <v>164</v>
      </c>
      <c r="E47" s="11" t="s">
        <v>50</v>
      </c>
      <c r="F47" s="11"/>
      <c r="G47" s="12">
        <v>46059</v>
      </c>
      <c r="H47" s="11"/>
      <c r="I47" s="11"/>
      <c r="J47" s="15" t="str">
        <f>IF(ISNUMBER(IFERROR(INDEX('WEEKLY PULL-OUT SCHEDULE'!$T:$T,MATCH(K47,'WEEKLY PULL-OUT SCHEDULE'!$S:$S,0)),"")),"",IFERROR(INDEX('WEEKLY PULL-OUT SCHEDULE'!$T:$T,MATCH(K47,'WEEKLY PULL-OUT SCHEDULE'!$S:$S,0)),""))</f>
        <v>Pending</v>
      </c>
      <c r="K47" s="8" t="str">
        <f t="shared" si="2"/>
        <v>907|M36</v>
      </c>
      <c r="L47" s="10" t="str">
        <f t="shared" si="3"/>
        <v>Pending</v>
      </c>
    </row>
    <row r="48" spans="1:12" x14ac:dyDescent="0.3">
      <c r="A48" s="5" t="s">
        <v>74</v>
      </c>
      <c r="B48" s="5" t="s">
        <v>77</v>
      </c>
      <c r="C48" s="5" t="s">
        <v>57</v>
      </c>
      <c r="D48" s="5" t="s">
        <v>165</v>
      </c>
      <c r="E48" s="5" t="s">
        <v>35</v>
      </c>
      <c r="F48" s="5" t="s">
        <v>166</v>
      </c>
      <c r="G48" s="6">
        <v>45960</v>
      </c>
      <c r="H48" s="6">
        <v>45953</v>
      </c>
      <c r="I48" s="5" t="s">
        <v>167</v>
      </c>
      <c r="J48" s="15" t="str">
        <f>IF(ISNUMBER(IFERROR(INDEX('WEEKLY PULL-OUT SCHEDULE'!$T:$T,MATCH(K48,'WEEKLY PULL-OUT SCHEDULE'!$S:$S,0)),"")),"",IFERROR(INDEX('WEEKLY PULL-OUT SCHEDULE'!$T:$T,MATCH(K48,'WEEKLY PULL-OUT SCHEDULE'!$S:$S,0)),""))</f>
        <v>Pending</v>
      </c>
      <c r="K48" s="8" t="str">
        <f t="shared" si="2"/>
        <v>927|M3</v>
      </c>
      <c r="L48" s="10" t="str">
        <f t="shared" si="3"/>
        <v>Issued</v>
      </c>
    </row>
    <row r="49" spans="1:12" x14ac:dyDescent="0.3">
      <c r="A49" s="11" t="s">
        <v>74</v>
      </c>
      <c r="B49" s="11" t="s">
        <v>77</v>
      </c>
      <c r="C49" s="11" t="s">
        <v>57</v>
      </c>
      <c r="D49" s="11" t="s">
        <v>168</v>
      </c>
      <c r="E49" s="11" t="s">
        <v>45</v>
      </c>
      <c r="F49" s="11"/>
      <c r="G49" s="12">
        <v>46139</v>
      </c>
      <c r="H49" s="11"/>
      <c r="I49" s="11"/>
      <c r="J49" s="15" t="str">
        <f>IF(ISNUMBER(IFERROR(INDEX('WEEKLY PULL-OUT SCHEDULE'!$T:$T,MATCH(K49,'WEEKLY PULL-OUT SCHEDULE'!$S:$S,0)),"")),"",IFERROR(INDEX('WEEKLY PULL-OUT SCHEDULE'!$T:$T,MATCH(K49,'WEEKLY PULL-OUT SCHEDULE'!$S:$S,0)),""))</f>
        <v>Not Completed</v>
      </c>
      <c r="K49" s="8" t="str">
        <f t="shared" si="2"/>
        <v>927|M18</v>
      </c>
      <c r="L49" s="10" t="str">
        <f t="shared" si="3"/>
        <v>Pending</v>
      </c>
    </row>
    <row r="50" spans="1:12" x14ac:dyDescent="0.3">
      <c r="A50" s="5" t="s">
        <v>74</v>
      </c>
      <c r="B50" s="5" t="s">
        <v>77</v>
      </c>
      <c r="C50" s="5" t="s">
        <v>57</v>
      </c>
      <c r="D50" s="5" t="s">
        <v>169</v>
      </c>
      <c r="E50" s="5" t="s">
        <v>62</v>
      </c>
      <c r="F50" s="5"/>
      <c r="G50" s="6">
        <v>46195</v>
      </c>
      <c r="H50" s="5"/>
      <c r="I50" s="5"/>
      <c r="J50" s="15" t="str">
        <f>IF(ISNUMBER(IFERROR(INDEX('WEEKLY PULL-OUT SCHEDULE'!$T:$T,MATCH(K50,'WEEKLY PULL-OUT SCHEDULE'!$S:$S,0)),"")),"",IFERROR(INDEX('WEEKLY PULL-OUT SCHEDULE'!$T:$T,MATCH(K50,'WEEKLY PULL-OUT SCHEDULE'!$S:$S,0)),""))</f>
        <v>Pending</v>
      </c>
      <c r="K50" s="8" t="str">
        <f t="shared" si="2"/>
        <v>927|M6</v>
      </c>
      <c r="L50" s="10" t="str">
        <f t="shared" si="3"/>
        <v>Pending</v>
      </c>
    </row>
    <row r="51" spans="1:12" x14ac:dyDescent="0.3">
      <c r="A51" s="11" t="s">
        <v>74</v>
      </c>
      <c r="B51" s="11" t="s">
        <v>77</v>
      </c>
      <c r="C51" s="11" t="s">
        <v>57</v>
      </c>
      <c r="D51" s="11" t="s">
        <v>170</v>
      </c>
      <c r="E51" s="11" t="s">
        <v>38</v>
      </c>
      <c r="F51" s="11"/>
      <c r="G51" s="12">
        <v>45964</v>
      </c>
      <c r="H51" s="11"/>
      <c r="I51" s="11"/>
      <c r="J51" s="15" t="str">
        <f>IF(ISNUMBER(IFERROR(INDEX('WEEKLY PULL-OUT SCHEDULE'!$T:$T,MATCH(K51,'WEEKLY PULL-OUT SCHEDULE'!$S:$S,0)),"")),"",IFERROR(INDEX('WEEKLY PULL-OUT SCHEDULE'!$T:$T,MATCH(K51,'WEEKLY PULL-OUT SCHEDULE'!$S:$S,0)),""))</f>
        <v>Not Completed</v>
      </c>
      <c r="K51" s="8" t="str">
        <f t="shared" si="2"/>
        <v>927|M24</v>
      </c>
      <c r="L51" s="10" t="str">
        <f t="shared" si="3"/>
        <v>Pending</v>
      </c>
    </row>
    <row r="52" spans="1:12" x14ac:dyDescent="0.3">
      <c r="A52" s="5" t="s">
        <v>78</v>
      </c>
      <c r="B52" s="5" t="s">
        <v>79</v>
      </c>
      <c r="C52" s="5" t="s">
        <v>80</v>
      </c>
      <c r="D52" s="5" t="s">
        <v>171</v>
      </c>
      <c r="E52" s="5" t="s">
        <v>50</v>
      </c>
      <c r="F52" s="5"/>
      <c r="G52" s="6">
        <v>46160</v>
      </c>
      <c r="H52" s="5"/>
      <c r="I52" s="5"/>
      <c r="J52" s="15" t="str">
        <f>IF(ISNUMBER(IFERROR(INDEX('WEEKLY PULL-OUT SCHEDULE'!$T:$T,MATCH(K52,'WEEKLY PULL-OUT SCHEDULE'!$S:$S,0)),"")),"",IFERROR(INDEX('WEEKLY PULL-OUT SCHEDULE'!$T:$T,MATCH(K52,'WEEKLY PULL-OUT SCHEDULE'!$S:$S,0)),""))</f>
        <v>Pending</v>
      </c>
      <c r="K52" s="8" t="str">
        <f t="shared" si="2"/>
        <v>943|M36</v>
      </c>
      <c r="L52" s="10" t="str">
        <f t="shared" si="3"/>
        <v>Pending</v>
      </c>
    </row>
    <row r="53" spans="1:12" x14ac:dyDescent="0.3">
      <c r="A53" s="11" t="s">
        <v>78</v>
      </c>
      <c r="B53" s="11" t="s">
        <v>79</v>
      </c>
      <c r="C53" s="11" t="s">
        <v>80</v>
      </c>
      <c r="D53" s="11" t="s">
        <v>172</v>
      </c>
      <c r="E53" s="11" t="s">
        <v>28</v>
      </c>
      <c r="F53" s="11"/>
      <c r="G53" s="11"/>
      <c r="H53" s="11"/>
      <c r="I53" s="11"/>
      <c r="J53" s="15" t="str">
        <f>IF(ISNUMBER(IFERROR(INDEX('WEEKLY PULL-OUT SCHEDULE'!$T:$T,MATCH(K53,'WEEKLY PULL-OUT SCHEDULE'!$S:$S,0)),"")),"",IFERROR(INDEX('WEEKLY PULL-OUT SCHEDULE'!$T:$T,MATCH(K53,'WEEKLY PULL-OUT SCHEDULE'!$S:$S,0)),""))</f>
        <v>Pending</v>
      </c>
      <c r="K53" s="8" t="str">
        <f t="shared" si="2"/>
        <v>943|M9</v>
      </c>
      <c r="L53" s="10" t="str">
        <f t="shared" si="3"/>
        <v>Pending</v>
      </c>
    </row>
    <row r="54" spans="1:12" x14ac:dyDescent="0.3">
      <c r="A54" s="5" t="s">
        <v>78</v>
      </c>
      <c r="B54" s="5" t="s">
        <v>79</v>
      </c>
      <c r="C54" s="5" t="s">
        <v>80</v>
      </c>
      <c r="D54" s="5" t="s">
        <v>173</v>
      </c>
      <c r="E54" s="5" t="s">
        <v>45</v>
      </c>
      <c r="F54" s="5"/>
      <c r="G54" s="6">
        <v>46227</v>
      </c>
      <c r="H54" s="5"/>
      <c r="I54" s="5"/>
      <c r="J54" s="15" t="str">
        <f>IF(ISNUMBER(IFERROR(INDEX('WEEKLY PULL-OUT SCHEDULE'!$T:$T,MATCH(K54,'WEEKLY PULL-OUT SCHEDULE'!$S:$S,0)),"")),"",IFERROR(INDEX('WEEKLY PULL-OUT SCHEDULE'!$T:$T,MATCH(K54,'WEEKLY PULL-OUT SCHEDULE'!$S:$S,0)),""))</f>
        <v>Pending</v>
      </c>
      <c r="K54" s="8" t="str">
        <f t="shared" si="2"/>
        <v>943|M18</v>
      </c>
      <c r="L54" s="10" t="str">
        <f t="shared" si="3"/>
        <v>Pending</v>
      </c>
    </row>
    <row r="55" spans="1:12" x14ac:dyDescent="0.3">
      <c r="A55" s="11" t="s">
        <v>78</v>
      </c>
      <c r="B55" s="11" t="s">
        <v>81</v>
      </c>
      <c r="C55" s="11" t="s">
        <v>52</v>
      </c>
      <c r="D55" s="11" t="s">
        <v>174</v>
      </c>
      <c r="E55" s="11" t="s">
        <v>50</v>
      </c>
      <c r="F55" s="11" t="s">
        <v>175</v>
      </c>
      <c r="G55" s="12">
        <v>46073</v>
      </c>
      <c r="H55" s="12">
        <v>46085</v>
      </c>
      <c r="I55" s="11" t="s">
        <v>176</v>
      </c>
      <c r="J55" s="15" t="str">
        <f>IF(ISNUMBER(IFERROR(INDEX('WEEKLY PULL-OUT SCHEDULE'!$T:$T,MATCH(K55,'WEEKLY PULL-OUT SCHEDULE'!$S:$S,0)),"")),"",IFERROR(INDEX('WEEKLY PULL-OUT SCHEDULE'!$T:$T,MATCH(K55,'WEEKLY PULL-OUT SCHEDULE'!$S:$S,0)),""))</f>
        <v>Not Completed</v>
      </c>
      <c r="K55" s="8" t="str">
        <f t="shared" si="2"/>
        <v>963|M36</v>
      </c>
      <c r="L55" s="10" t="str">
        <f t="shared" si="3"/>
        <v>Issued</v>
      </c>
    </row>
    <row r="56" spans="1:12" x14ac:dyDescent="0.3">
      <c r="A56" s="5" t="s">
        <v>78</v>
      </c>
      <c r="B56" s="5" t="s">
        <v>81</v>
      </c>
      <c r="C56" s="5" t="s">
        <v>52</v>
      </c>
      <c r="D56" s="5" t="s">
        <v>177</v>
      </c>
      <c r="E56" s="5" t="s">
        <v>40</v>
      </c>
      <c r="F56" s="5"/>
      <c r="G56" s="6">
        <v>46191</v>
      </c>
      <c r="H56" s="5"/>
      <c r="I56" s="5"/>
      <c r="J56" s="15" t="str">
        <f>IF(ISNUMBER(IFERROR(INDEX('WEEKLY PULL-OUT SCHEDULE'!$T:$T,MATCH(K56,'WEEKLY PULL-OUT SCHEDULE'!$S:$S,0)),"")),"",IFERROR(INDEX('WEEKLY PULL-OUT SCHEDULE'!$T:$T,MATCH(K56,'WEEKLY PULL-OUT SCHEDULE'!$S:$S,0)),""))</f>
        <v>Pending</v>
      </c>
      <c r="K56" s="8" t="str">
        <f t="shared" si="2"/>
        <v>963|M12</v>
      </c>
      <c r="L56" s="10" t="str">
        <f t="shared" si="3"/>
        <v>Pending</v>
      </c>
    </row>
    <row r="57" spans="1:12" x14ac:dyDescent="0.3">
      <c r="A57" s="11" t="s">
        <v>78</v>
      </c>
      <c r="B57" s="11" t="s">
        <v>81</v>
      </c>
      <c r="C57" s="11" t="s">
        <v>52</v>
      </c>
      <c r="D57" s="11" t="s">
        <v>178</v>
      </c>
      <c r="E57" s="11" t="s">
        <v>45</v>
      </c>
      <c r="F57" s="11"/>
      <c r="G57" s="12">
        <v>45913</v>
      </c>
      <c r="H57" s="11"/>
      <c r="I57" s="11"/>
      <c r="J57" s="15" t="str">
        <f>IF(ISNUMBER(IFERROR(INDEX('WEEKLY PULL-OUT SCHEDULE'!$T:$T,MATCH(K57,'WEEKLY PULL-OUT SCHEDULE'!$S:$S,0)),"")),"",IFERROR(INDEX('WEEKLY PULL-OUT SCHEDULE'!$T:$T,MATCH(K57,'WEEKLY PULL-OUT SCHEDULE'!$S:$S,0)),""))</f>
        <v>Pending</v>
      </c>
      <c r="K57" s="8" t="str">
        <f t="shared" si="2"/>
        <v>963|M18</v>
      </c>
      <c r="L57" s="10" t="str">
        <f t="shared" si="3"/>
        <v>Pending</v>
      </c>
    </row>
    <row r="58" spans="1:12" x14ac:dyDescent="0.3">
      <c r="A58" s="5" t="s">
        <v>78</v>
      </c>
      <c r="B58" s="5" t="s">
        <v>81</v>
      </c>
      <c r="C58" s="5" t="s">
        <v>52</v>
      </c>
      <c r="D58" s="5" t="s">
        <v>179</v>
      </c>
      <c r="E58" s="5" t="s">
        <v>38</v>
      </c>
      <c r="F58" s="5"/>
      <c r="G58" s="6">
        <v>46148</v>
      </c>
      <c r="H58" s="5"/>
      <c r="I58" s="5"/>
      <c r="J58" s="15" t="str">
        <f>IF(ISNUMBER(IFERROR(INDEX('WEEKLY PULL-OUT SCHEDULE'!$T:$T,MATCH(K58,'WEEKLY PULL-OUT SCHEDULE'!$S:$S,0)),"")),"",IFERROR(INDEX('WEEKLY PULL-OUT SCHEDULE'!$T:$T,MATCH(K58,'WEEKLY PULL-OUT SCHEDULE'!$S:$S,0)),""))</f>
        <v>Not Completed</v>
      </c>
      <c r="K58" s="8" t="str">
        <f t="shared" si="2"/>
        <v>963|M24</v>
      </c>
      <c r="L58" s="10" t="str">
        <f t="shared" si="3"/>
        <v>Pending</v>
      </c>
    </row>
    <row r="59" spans="1:12" x14ac:dyDescent="0.3">
      <c r="A59" s="11" t="s">
        <v>78</v>
      </c>
      <c r="B59" s="11" t="s">
        <v>81</v>
      </c>
      <c r="C59" s="11" t="s">
        <v>52</v>
      </c>
      <c r="D59" s="11" t="s">
        <v>180</v>
      </c>
      <c r="E59" s="11" t="s">
        <v>28</v>
      </c>
      <c r="F59" s="11"/>
      <c r="G59" s="12">
        <v>46005</v>
      </c>
      <c r="H59" s="11"/>
      <c r="I59" s="11"/>
      <c r="J59" s="15" t="str">
        <f>IF(ISNUMBER(IFERROR(INDEX('WEEKLY PULL-OUT SCHEDULE'!$T:$T,MATCH(K59,'WEEKLY PULL-OUT SCHEDULE'!$S:$S,0)),"")),"",IFERROR(INDEX('WEEKLY PULL-OUT SCHEDULE'!$T:$T,MATCH(K59,'WEEKLY PULL-OUT SCHEDULE'!$S:$S,0)),""))</f>
        <v>Not Completed</v>
      </c>
      <c r="K59" s="8" t="str">
        <f t="shared" si="2"/>
        <v>963|M9</v>
      </c>
      <c r="L59" s="10" t="str">
        <f t="shared" si="3"/>
        <v>Pending</v>
      </c>
    </row>
    <row r="60" spans="1:12" x14ac:dyDescent="0.3">
      <c r="A60" s="5" t="s">
        <v>83</v>
      </c>
      <c r="B60" s="5" t="s">
        <v>84</v>
      </c>
      <c r="C60" s="5" t="s">
        <v>85</v>
      </c>
      <c r="D60" s="5" t="s">
        <v>181</v>
      </c>
      <c r="E60" s="5" t="s">
        <v>45</v>
      </c>
      <c r="F60" s="5"/>
      <c r="G60" s="6">
        <v>46220</v>
      </c>
      <c r="H60" s="5"/>
      <c r="I60" s="5"/>
      <c r="J60" s="15" t="str">
        <f>IF(ISNUMBER(IFERROR(INDEX('WEEKLY PULL-OUT SCHEDULE'!$T:$T,MATCH(K60,'WEEKLY PULL-OUT SCHEDULE'!$S:$S,0)),"")),"",IFERROR(INDEX('WEEKLY PULL-OUT SCHEDULE'!$T:$T,MATCH(K60,'WEEKLY PULL-OUT SCHEDULE'!$S:$S,0)),""))</f>
        <v>Pending</v>
      </c>
      <c r="K60" s="8" t="str">
        <f t="shared" si="2"/>
        <v>979|M18</v>
      </c>
      <c r="L60" s="10" t="str">
        <f t="shared" si="3"/>
        <v>Pending</v>
      </c>
    </row>
    <row r="61" spans="1:12" x14ac:dyDescent="0.3">
      <c r="A61" s="11" t="s">
        <v>83</v>
      </c>
      <c r="B61" s="11" t="s">
        <v>84</v>
      </c>
      <c r="C61" s="11" t="s">
        <v>85</v>
      </c>
      <c r="D61" s="11" t="s">
        <v>182</v>
      </c>
      <c r="E61" s="11" t="s">
        <v>62</v>
      </c>
      <c r="F61" s="11"/>
      <c r="G61" s="12">
        <v>45807</v>
      </c>
      <c r="H61" s="11"/>
      <c r="I61" s="11"/>
      <c r="J61" s="15" t="str">
        <f>IF(ISNUMBER(IFERROR(INDEX('WEEKLY PULL-OUT SCHEDULE'!$T:$T,MATCH(K61,'WEEKLY PULL-OUT SCHEDULE'!$S:$S,0)),"")),"",IFERROR(INDEX('WEEKLY PULL-OUT SCHEDULE'!$T:$T,MATCH(K61,'WEEKLY PULL-OUT SCHEDULE'!$S:$S,0)),""))</f>
        <v>Pending</v>
      </c>
      <c r="K61" s="8" t="str">
        <f t="shared" si="2"/>
        <v>979|M6</v>
      </c>
      <c r="L61" s="10" t="str">
        <f t="shared" si="3"/>
        <v>Pending</v>
      </c>
    </row>
    <row r="62" spans="1:12" x14ac:dyDescent="0.3">
      <c r="A62" s="5" t="s">
        <v>83</v>
      </c>
      <c r="B62" s="5" t="s">
        <v>84</v>
      </c>
      <c r="C62" s="5" t="s">
        <v>85</v>
      </c>
      <c r="D62" s="5" t="s">
        <v>183</v>
      </c>
      <c r="E62" s="5" t="s">
        <v>28</v>
      </c>
      <c r="F62" s="5" t="s">
        <v>184</v>
      </c>
      <c r="G62" s="6">
        <v>45994</v>
      </c>
      <c r="H62" s="6">
        <v>46005</v>
      </c>
      <c r="I62" s="5" t="s">
        <v>185</v>
      </c>
      <c r="J62" s="15" t="str">
        <f>IF(ISNUMBER(IFERROR(INDEX('WEEKLY PULL-OUT SCHEDULE'!$T:$T,MATCH(K62,'WEEKLY PULL-OUT SCHEDULE'!$S:$S,0)),"")),"",IFERROR(INDEX('WEEKLY PULL-OUT SCHEDULE'!$T:$T,MATCH(K62,'WEEKLY PULL-OUT SCHEDULE'!$S:$S,0)),""))</f>
        <v>Pending</v>
      </c>
      <c r="K62" s="8" t="str">
        <f t="shared" si="2"/>
        <v>979|M9</v>
      </c>
      <c r="L62" s="10" t="str">
        <f t="shared" si="3"/>
        <v>Issued</v>
      </c>
    </row>
    <row r="63" spans="1:12" x14ac:dyDescent="0.3">
      <c r="A63" s="11" t="s">
        <v>83</v>
      </c>
      <c r="B63" s="11" t="s">
        <v>87</v>
      </c>
      <c r="C63" s="11" t="s">
        <v>70</v>
      </c>
      <c r="D63" s="11" t="s">
        <v>186</v>
      </c>
      <c r="E63" s="11" t="s">
        <v>39</v>
      </c>
      <c r="F63" s="11"/>
      <c r="G63" s="12">
        <v>45960</v>
      </c>
      <c r="H63" s="11"/>
      <c r="I63" s="11"/>
      <c r="J63" s="15" t="str">
        <f>IF(ISNUMBER(IFERROR(INDEX('WEEKLY PULL-OUT SCHEDULE'!$T:$T,MATCH(K63,'WEEKLY PULL-OUT SCHEDULE'!$S:$S,0)),"")),"",IFERROR(INDEX('WEEKLY PULL-OUT SCHEDULE'!$T:$T,MATCH(K63,'WEEKLY PULL-OUT SCHEDULE'!$S:$S,0)),""))</f>
        <v>Pending</v>
      </c>
      <c r="K63" s="8" t="str">
        <f t="shared" si="2"/>
        <v>994|M1</v>
      </c>
      <c r="L63" s="10" t="str">
        <f t="shared" si="3"/>
        <v>Pending</v>
      </c>
    </row>
    <row r="64" spans="1:12" x14ac:dyDescent="0.3">
      <c r="A64" s="5" t="s">
        <v>83</v>
      </c>
      <c r="B64" s="5" t="s">
        <v>87</v>
      </c>
      <c r="C64" s="5" t="s">
        <v>70</v>
      </c>
      <c r="D64" s="5" t="s">
        <v>187</v>
      </c>
      <c r="E64" s="5" t="s">
        <v>62</v>
      </c>
      <c r="F64" s="5"/>
      <c r="G64" s="5"/>
      <c r="H64" s="5"/>
      <c r="I64" s="5"/>
      <c r="J64" s="15" t="str">
        <f>IF(ISNUMBER(IFERROR(INDEX('WEEKLY PULL-OUT SCHEDULE'!$T:$T,MATCH(K64,'WEEKLY PULL-OUT SCHEDULE'!$S:$S,0)),"")),"",IFERROR(INDEX('WEEKLY PULL-OUT SCHEDULE'!$T:$T,MATCH(K64,'WEEKLY PULL-OUT SCHEDULE'!$S:$S,0)),""))</f>
        <v>Pending</v>
      </c>
      <c r="K64" s="8" t="str">
        <f t="shared" si="2"/>
        <v>994|M6</v>
      </c>
      <c r="L64" s="10" t="str">
        <f t="shared" si="3"/>
        <v>Pending</v>
      </c>
    </row>
    <row r="65" spans="1:12" x14ac:dyDescent="0.3">
      <c r="A65" s="11" t="s">
        <v>83</v>
      </c>
      <c r="B65" s="11" t="s">
        <v>87</v>
      </c>
      <c r="C65" s="11" t="s">
        <v>70</v>
      </c>
      <c r="D65" s="11" t="s">
        <v>188</v>
      </c>
      <c r="E65" s="11" t="s">
        <v>38</v>
      </c>
      <c r="F65" s="11"/>
      <c r="G65" s="11"/>
      <c r="H65" s="11"/>
      <c r="I65" s="11"/>
      <c r="J65" s="15" t="str">
        <f>IF(ISNUMBER(IFERROR(INDEX('WEEKLY PULL-OUT SCHEDULE'!$T:$T,MATCH(K65,'WEEKLY PULL-OUT SCHEDULE'!$S:$S,0)),"")),"",IFERROR(INDEX('WEEKLY PULL-OUT SCHEDULE'!$T:$T,MATCH(K65,'WEEKLY PULL-OUT SCHEDULE'!$S:$S,0)),""))</f>
        <v>Pending</v>
      </c>
      <c r="K65" s="8" t="str">
        <f t="shared" si="2"/>
        <v>994|M24</v>
      </c>
      <c r="L65" s="10" t="str">
        <f t="shared" si="3"/>
        <v>Pending</v>
      </c>
    </row>
    <row r="66" spans="1:12" x14ac:dyDescent="0.3">
      <c r="A66" s="5" t="s">
        <v>83</v>
      </c>
      <c r="B66" s="5" t="s">
        <v>88</v>
      </c>
      <c r="C66" s="5" t="s">
        <v>27</v>
      </c>
      <c r="D66" s="5" t="s">
        <v>189</v>
      </c>
      <c r="E66" s="5" t="s">
        <v>50</v>
      </c>
      <c r="F66" s="5"/>
      <c r="G66" s="6">
        <v>46103</v>
      </c>
      <c r="H66" s="5"/>
      <c r="I66" s="5"/>
      <c r="J66" s="15" t="str">
        <f>IF(ISNUMBER(IFERROR(INDEX('WEEKLY PULL-OUT SCHEDULE'!$T:$T,MATCH(K66,'WEEKLY PULL-OUT SCHEDULE'!$S:$S,0)),"")),"",IFERROR(INDEX('WEEKLY PULL-OUT SCHEDULE'!$T:$T,MATCH(K66,'WEEKLY PULL-OUT SCHEDULE'!$S:$S,0)),""))</f>
        <v>Completed</v>
      </c>
      <c r="K66" s="8" t="str">
        <f t="shared" si="2"/>
        <v>1013|M36</v>
      </c>
      <c r="L66" s="10" t="str">
        <f t="shared" si="3"/>
        <v>Pending</v>
      </c>
    </row>
    <row r="67" spans="1:12" x14ac:dyDescent="0.3">
      <c r="A67" s="11" t="s">
        <v>83</v>
      </c>
      <c r="B67" s="11" t="s">
        <v>88</v>
      </c>
      <c r="C67" s="11" t="s">
        <v>27</v>
      </c>
      <c r="D67" s="11" t="s">
        <v>190</v>
      </c>
      <c r="E67" s="11" t="s">
        <v>45</v>
      </c>
      <c r="F67" s="11"/>
      <c r="G67" s="11"/>
      <c r="H67" s="11"/>
      <c r="I67" s="11"/>
      <c r="J67" s="15" t="str">
        <f>IF(ISNUMBER(IFERROR(INDEX('WEEKLY PULL-OUT SCHEDULE'!$T:$T,MATCH(K67,'WEEKLY PULL-OUT SCHEDULE'!$S:$S,0)),"")),"",IFERROR(INDEX('WEEKLY PULL-OUT SCHEDULE'!$T:$T,MATCH(K67,'WEEKLY PULL-OUT SCHEDULE'!$S:$S,0)),""))</f>
        <v>Pending</v>
      </c>
      <c r="K67" s="8" t="str">
        <f t="shared" si="2"/>
        <v>1013|M18</v>
      </c>
      <c r="L67" s="10" t="str">
        <f t="shared" si="3"/>
        <v>Pending</v>
      </c>
    </row>
    <row r="68" spans="1:12" x14ac:dyDescent="0.3">
      <c r="A68" s="5" t="s">
        <v>83</v>
      </c>
      <c r="B68" s="5" t="s">
        <v>88</v>
      </c>
      <c r="C68" s="5" t="s">
        <v>27</v>
      </c>
      <c r="D68" s="5" t="s">
        <v>191</v>
      </c>
      <c r="E68" s="5" t="s">
        <v>62</v>
      </c>
      <c r="F68" s="5"/>
      <c r="G68" s="6">
        <v>46114</v>
      </c>
      <c r="H68" s="5"/>
      <c r="I68" s="5"/>
      <c r="J68" s="15" t="str">
        <f>IF(ISNUMBER(IFERROR(INDEX('WEEKLY PULL-OUT SCHEDULE'!$T:$T,MATCH(K68,'WEEKLY PULL-OUT SCHEDULE'!$S:$S,0)),"")),"",IFERROR(INDEX('WEEKLY PULL-OUT SCHEDULE'!$T:$T,MATCH(K68,'WEEKLY PULL-OUT SCHEDULE'!$S:$S,0)),""))</f>
        <v>Completed</v>
      </c>
      <c r="K68" s="8" t="str">
        <f t="shared" ref="K68:K104" si="4">TRIM(CLEAN(B68))&amp;"|"&amp;TRIM(CLEAN(E68))</f>
        <v>1013|M6</v>
      </c>
      <c r="L68" s="10" t="str">
        <f t="shared" ref="L68:L104" si="5">IF(F68="","Pending","Issued")</f>
        <v>Pending</v>
      </c>
    </row>
    <row r="69" spans="1:12" x14ac:dyDescent="0.3">
      <c r="A69" s="11" t="s">
        <v>83</v>
      </c>
      <c r="B69" s="11" t="s">
        <v>88</v>
      </c>
      <c r="C69" s="11" t="s">
        <v>27</v>
      </c>
      <c r="D69" s="11" t="s">
        <v>192</v>
      </c>
      <c r="E69" s="11" t="s">
        <v>38</v>
      </c>
      <c r="F69" s="11"/>
      <c r="G69" s="12">
        <v>45814</v>
      </c>
      <c r="H69" s="11"/>
      <c r="I69" s="11"/>
      <c r="J69" s="15" t="str">
        <f>IF(ISNUMBER(IFERROR(INDEX('WEEKLY PULL-OUT SCHEDULE'!$T:$T,MATCH(K69,'WEEKLY PULL-OUT SCHEDULE'!$S:$S,0)),"")),"",IFERROR(INDEX('WEEKLY PULL-OUT SCHEDULE'!$T:$T,MATCH(K69,'WEEKLY PULL-OUT SCHEDULE'!$S:$S,0)),""))</f>
        <v>Pending</v>
      </c>
      <c r="K69" s="8" t="str">
        <f t="shared" si="4"/>
        <v>1013|M24</v>
      </c>
      <c r="L69" s="10" t="str">
        <f t="shared" si="5"/>
        <v>Pending</v>
      </c>
    </row>
    <row r="70" spans="1:12" x14ac:dyDescent="0.3">
      <c r="A70" s="5" t="s">
        <v>83</v>
      </c>
      <c r="B70" s="5" t="s">
        <v>89</v>
      </c>
      <c r="C70" s="5" t="s">
        <v>57</v>
      </c>
      <c r="D70" s="5" t="s">
        <v>193</v>
      </c>
      <c r="E70" s="5" t="s">
        <v>50</v>
      </c>
      <c r="F70" s="5"/>
      <c r="G70" s="6">
        <v>45883</v>
      </c>
      <c r="H70" s="5"/>
      <c r="I70" s="5"/>
      <c r="J70" s="15" t="str">
        <f>IF(ISNUMBER(IFERROR(INDEX('WEEKLY PULL-OUT SCHEDULE'!$T:$T,MATCH(K70,'WEEKLY PULL-OUT SCHEDULE'!$S:$S,0)),"")),"",IFERROR(INDEX('WEEKLY PULL-OUT SCHEDULE'!$T:$T,MATCH(K70,'WEEKLY PULL-OUT SCHEDULE'!$S:$S,0)),""))</f>
        <v>Pending</v>
      </c>
      <c r="K70" s="8" t="str">
        <f t="shared" si="4"/>
        <v>1014|M36</v>
      </c>
      <c r="L70" s="10" t="str">
        <f t="shared" si="5"/>
        <v>Pending</v>
      </c>
    </row>
    <row r="71" spans="1:12" x14ac:dyDescent="0.3">
      <c r="A71" s="11" t="s">
        <v>83</v>
      </c>
      <c r="B71" s="11" t="s">
        <v>89</v>
      </c>
      <c r="C71" s="11" t="s">
        <v>57</v>
      </c>
      <c r="D71" s="11" t="s">
        <v>194</v>
      </c>
      <c r="E71" s="11" t="s">
        <v>39</v>
      </c>
      <c r="F71" s="11"/>
      <c r="G71" s="12">
        <v>46096</v>
      </c>
      <c r="H71" s="11"/>
      <c r="I71" s="11"/>
      <c r="J71" s="15" t="str">
        <f>IF(ISNUMBER(IFERROR(INDEX('WEEKLY PULL-OUT SCHEDULE'!$T:$T,MATCH(K71,'WEEKLY PULL-OUT SCHEDULE'!$S:$S,0)),"")),"",IFERROR(INDEX('WEEKLY PULL-OUT SCHEDULE'!$T:$T,MATCH(K71,'WEEKLY PULL-OUT SCHEDULE'!$S:$S,0)),""))</f>
        <v>Pending</v>
      </c>
      <c r="K71" s="8" t="str">
        <f t="shared" si="4"/>
        <v>1014|M1</v>
      </c>
      <c r="L71" s="10" t="str">
        <f t="shared" si="5"/>
        <v>Pending</v>
      </c>
    </row>
    <row r="72" spans="1:12" x14ac:dyDescent="0.3">
      <c r="A72" s="5" t="s">
        <v>83</v>
      </c>
      <c r="B72" s="5" t="s">
        <v>89</v>
      </c>
      <c r="C72" s="5" t="s">
        <v>57</v>
      </c>
      <c r="D72" s="5" t="s">
        <v>195</v>
      </c>
      <c r="E72" s="5" t="s">
        <v>28</v>
      </c>
      <c r="F72" s="5" t="s">
        <v>196</v>
      </c>
      <c r="G72" s="6">
        <v>46177</v>
      </c>
      <c r="H72" s="6">
        <v>46181</v>
      </c>
      <c r="I72" s="5" t="s">
        <v>197</v>
      </c>
      <c r="J72" s="15" t="str">
        <f>IF(ISNUMBER(IFERROR(INDEX('WEEKLY PULL-OUT SCHEDULE'!$T:$T,MATCH(K72,'WEEKLY PULL-OUT SCHEDULE'!$S:$S,0)),"")),"",IFERROR(INDEX('WEEKLY PULL-OUT SCHEDULE'!$T:$T,MATCH(K72,'WEEKLY PULL-OUT SCHEDULE'!$S:$S,0)),""))</f>
        <v>Pending</v>
      </c>
      <c r="K72" s="8" t="str">
        <f t="shared" si="4"/>
        <v>1014|M9</v>
      </c>
      <c r="L72" s="10" t="str">
        <f t="shared" si="5"/>
        <v>Issued</v>
      </c>
    </row>
    <row r="73" spans="1:12" x14ac:dyDescent="0.3">
      <c r="A73" s="11" t="s">
        <v>83</v>
      </c>
      <c r="B73" s="11" t="s">
        <v>89</v>
      </c>
      <c r="C73" s="11" t="s">
        <v>57</v>
      </c>
      <c r="D73" s="11" t="s">
        <v>198</v>
      </c>
      <c r="E73" s="11" t="s">
        <v>62</v>
      </c>
      <c r="F73" s="11"/>
      <c r="G73" s="12">
        <v>45974</v>
      </c>
      <c r="H73" s="11"/>
      <c r="I73" s="11"/>
      <c r="J73" s="15" t="str">
        <f>IF(ISNUMBER(IFERROR(INDEX('WEEKLY PULL-OUT SCHEDULE'!$T:$T,MATCH(K73,'WEEKLY PULL-OUT SCHEDULE'!$S:$S,0)),"")),"",IFERROR(INDEX('WEEKLY PULL-OUT SCHEDULE'!$T:$T,MATCH(K73,'WEEKLY PULL-OUT SCHEDULE'!$S:$S,0)),""))</f>
        <v>Pending</v>
      </c>
      <c r="K73" s="8" t="str">
        <f t="shared" si="4"/>
        <v>1014|M6</v>
      </c>
      <c r="L73" s="10" t="str">
        <f t="shared" si="5"/>
        <v>Pending</v>
      </c>
    </row>
    <row r="74" spans="1:12" x14ac:dyDescent="0.3">
      <c r="A74" s="5" t="s">
        <v>83</v>
      </c>
      <c r="B74" s="5" t="s">
        <v>89</v>
      </c>
      <c r="C74" s="5" t="s">
        <v>57</v>
      </c>
      <c r="D74" s="5" t="s">
        <v>199</v>
      </c>
      <c r="E74" s="5" t="s">
        <v>45</v>
      </c>
      <c r="F74" s="5"/>
      <c r="G74" s="6">
        <v>45890</v>
      </c>
      <c r="H74" s="5"/>
      <c r="I74" s="5"/>
      <c r="J74" s="15" t="str">
        <f>IF(ISNUMBER(IFERROR(INDEX('WEEKLY PULL-OUT SCHEDULE'!$T:$T,MATCH(K74,'WEEKLY PULL-OUT SCHEDULE'!$S:$S,0)),"")),"",IFERROR(INDEX('WEEKLY PULL-OUT SCHEDULE'!$T:$T,MATCH(K74,'WEEKLY PULL-OUT SCHEDULE'!$S:$S,0)),""))</f>
        <v>Not Completed</v>
      </c>
      <c r="K74" s="8" t="str">
        <f t="shared" si="4"/>
        <v>1014|M18</v>
      </c>
      <c r="L74" s="10" t="str">
        <f t="shared" si="5"/>
        <v>Pending</v>
      </c>
    </row>
    <row r="75" spans="1:12" x14ac:dyDescent="0.3">
      <c r="A75" s="11" t="s">
        <v>91</v>
      </c>
      <c r="B75" s="11" t="s">
        <v>92</v>
      </c>
      <c r="C75" s="11" t="s">
        <v>80</v>
      </c>
      <c r="D75" s="11" t="s">
        <v>200</v>
      </c>
      <c r="E75" s="11" t="s">
        <v>50</v>
      </c>
      <c r="F75" s="11"/>
      <c r="G75" s="12">
        <v>46074</v>
      </c>
      <c r="H75" s="11"/>
      <c r="I75" s="11"/>
      <c r="J75" s="15" t="str">
        <f>IF(ISNUMBER(IFERROR(INDEX('WEEKLY PULL-OUT SCHEDULE'!$T:$T,MATCH(K75,'WEEKLY PULL-OUT SCHEDULE'!$S:$S,0)),"")),"",IFERROR(INDEX('WEEKLY PULL-OUT SCHEDULE'!$T:$T,MATCH(K75,'WEEKLY PULL-OUT SCHEDULE'!$S:$S,0)),""))</f>
        <v>Pending</v>
      </c>
      <c r="K75" s="8" t="str">
        <f t="shared" si="4"/>
        <v>1024|M36</v>
      </c>
      <c r="L75" s="10" t="str">
        <f t="shared" si="5"/>
        <v>Pending</v>
      </c>
    </row>
    <row r="76" spans="1:12" x14ac:dyDescent="0.3">
      <c r="A76" s="5" t="s">
        <v>91</v>
      </c>
      <c r="B76" s="5" t="s">
        <v>92</v>
      </c>
      <c r="C76" s="5" t="s">
        <v>80</v>
      </c>
      <c r="D76" s="5" t="s">
        <v>201</v>
      </c>
      <c r="E76" s="5" t="s">
        <v>40</v>
      </c>
      <c r="F76" s="5"/>
      <c r="G76" s="6">
        <v>45954</v>
      </c>
      <c r="H76" s="5"/>
      <c r="I76" s="5"/>
      <c r="J76" s="15" t="str">
        <f>IF(ISNUMBER(IFERROR(INDEX('WEEKLY PULL-OUT SCHEDULE'!$T:$T,MATCH(K76,'WEEKLY PULL-OUT SCHEDULE'!$S:$S,0)),"")),"",IFERROR(INDEX('WEEKLY PULL-OUT SCHEDULE'!$T:$T,MATCH(K76,'WEEKLY PULL-OUT SCHEDULE'!$S:$S,0)),""))</f>
        <v>Pending</v>
      </c>
      <c r="K76" s="8" t="str">
        <f t="shared" si="4"/>
        <v>1024|M12</v>
      </c>
      <c r="L76" s="10" t="str">
        <f t="shared" si="5"/>
        <v>Pending</v>
      </c>
    </row>
    <row r="77" spans="1:12" x14ac:dyDescent="0.3">
      <c r="A77" s="11" t="s">
        <v>91</v>
      </c>
      <c r="B77" s="11" t="s">
        <v>92</v>
      </c>
      <c r="C77" s="11" t="s">
        <v>80</v>
      </c>
      <c r="D77" s="11" t="s">
        <v>202</v>
      </c>
      <c r="E77" s="11" t="s">
        <v>38</v>
      </c>
      <c r="F77" s="11"/>
      <c r="G77" s="12">
        <v>46163</v>
      </c>
      <c r="H77" s="11"/>
      <c r="I77" s="11"/>
      <c r="J77" s="15" t="str">
        <f>IF(ISNUMBER(IFERROR(INDEX('WEEKLY PULL-OUT SCHEDULE'!$T:$T,MATCH(K77,'WEEKLY PULL-OUT SCHEDULE'!$S:$S,0)),"")),"",IFERROR(INDEX('WEEKLY PULL-OUT SCHEDULE'!$T:$T,MATCH(K77,'WEEKLY PULL-OUT SCHEDULE'!$S:$S,0)),""))</f>
        <v>Pending</v>
      </c>
      <c r="K77" s="8" t="str">
        <f t="shared" si="4"/>
        <v>1024|M24</v>
      </c>
      <c r="L77" s="10" t="str">
        <f t="shared" si="5"/>
        <v>Pending</v>
      </c>
    </row>
    <row r="78" spans="1:12" x14ac:dyDescent="0.3">
      <c r="A78" s="5" t="s">
        <v>91</v>
      </c>
      <c r="B78" s="5" t="s">
        <v>92</v>
      </c>
      <c r="C78" s="5" t="s">
        <v>80</v>
      </c>
      <c r="D78" s="5" t="s">
        <v>203</v>
      </c>
      <c r="E78" s="5" t="s">
        <v>62</v>
      </c>
      <c r="F78" s="5"/>
      <c r="G78" s="6">
        <v>45947</v>
      </c>
      <c r="H78" s="5"/>
      <c r="I78" s="5"/>
      <c r="J78" s="15" t="str">
        <f>IF(ISNUMBER(IFERROR(INDEX('WEEKLY PULL-OUT SCHEDULE'!$T:$T,MATCH(K78,'WEEKLY PULL-OUT SCHEDULE'!$S:$S,0)),"")),"",IFERROR(INDEX('WEEKLY PULL-OUT SCHEDULE'!$T:$T,MATCH(K78,'WEEKLY PULL-OUT SCHEDULE'!$S:$S,0)),""))</f>
        <v>Pending</v>
      </c>
      <c r="K78" s="8" t="str">
        <f t="shared" si="4"/>
        <v>1024|M6</v>
      </c>
      <c r="L78" s="10" t="str">
        <f t="shared" si="5"/>
        <v>Pending</v>
      </c>
    </row>
    <row r="79" spans="1:12" x14ac:dyDescent="0.3">
      <c r="A79" s="11" t="s">
        <v>91</v>
      </c>
      <c r="B79" s="11" t="s">
        <v>92</v>
      </c>
      <c r="C79" s="11" t="s">
        <v>80</v>
      </c>
      <c r="D79" s="11" t="s">
        <v>204</v>
      </c>
      <c r="E79" s="11" t="s">
        <v>28</v>
      </c>
      <c r="F79" s="11"/>
      <c r="G79" s="11"/>
      <c r="H79" s="11"/>
      <c r="I79" s="11"/>
      <c r="J79" s="15" t="str">
        <f>IF(ISNUMBER(IFERROR(INDEX('WEEKLY PULL-OUT SCHEDULE'!$T:$T,MATCH(K79,'WEEKLY PULL-OUT SCHEDULE'!$S:$S,0)),"")),"",IFERROR(INDEX('WEEKLY PULL-OUT SCHEDULE'!$T:$T,MATCH(K79,'WEEKLY PULL-OUT SCHEDULE'!$S:$S,0)),""))</f>
        <v>Pending</v>
      </c>
      <c r="K79" s="8" t="str">
        <f t="shared" si="4"/>
        <v>1024|M9</v>
      </c>
      <c r="L79" s="10" t="str">
        <f t="shared" si="5"/>
        <v>Pending</v>
      </c>
    </row>
    <row r="80" spans="1:12" x14ac:dyDescent="0.3">
      <c r="A80" s="5" t="s">
        <v>91</v>
      </c>
      <c r="B80" s="5" t="s">
        <v>93</v>
      </c>
      <c r="C80" s="5" t="s">
        <v>60</v>
      </c>
      <c r="D80" s="5" t="s">
        <v>205</v>
      </c>
      <c r="E80" s="5" t="s">
        <v>50</v>
      </c>
      <c r="F80" s="5"/>
      <c r="G80" s="6">
        <v>45922</v>
      </c>
      <c r="H80" s="5"/>
      <c r="I80" s="5"/>
      <c r="J80" s="15" t="str">
        <f>IF(ISNUMBER(IFERROR(INDEX('WEEKLY PULL-OUT SCHEDULE'!$T:$T,MATCH(K80,'WEEKLY PULL-OUT SCHEDULE'!$S:$S,0)),"")),"",IFERROR(INDEX('WEEKLY PULL-OUT SCHEDULE'!$T:$T,MATCH(K80,'WEEKLY PULL-OUT SCHEDULE'!$S:$S,0)),""))</f>
        <v>Pending</v>
      </c>
      <c r="K80" s="8" t="str">
        <f t="shared" si="4"/>
        <v>1043|M36</v>
      </c>
      <c r="L80" s="10" t="str">
        <f t="shared" si="5"/>
        <v>Pending</v>
      </c>
    </row>
    <row r="81" spans="1:12" x14ac:dyDescent="0.3">
      <c r="A81" s="11" t="s">
        <v>91</v>
      </c>
      <c r="B81" s="11" t="s">
        <v>93</v>
      </c>
      <c r="C81" s="11" t="s">
        <v>60</v>
      </c>
      <c r="D81" s="11" t="s">
        <v>206</v>
      </c>
      <c r="E81" s="11" t="s">
        <v>28</v>
      </c>
      <c r="F81" s="11"/>
      <c r="G81" s="11"/>
      <c r="H81" s="11"/>
      <c r="I81" s="11"/>
      <c r="J81" s="15" t="str">
        <f>IF(ISNUMBER(IFERROR(INDEX('WEEKLY PULL-OUT SCHEDULE'!$T:$T,MATCH(K81,'WEEKLY PULL-OUT SCHEDULE'!$S:$S,0)),"")),"",IFERROR(INDEX('WEEKLY PULL-OUT SCHEDULE'!$T:$T,MATCH(K81,'WEEKLY PULL-OUT SCHEDULE'!$S:$S,0)),""))</f>
        <v>Pending</v>
      </c>
      <c r="K81" s="8" t="str">
        <f t="shared" si="4"/>
        <v>1043|M9</v>
      </c>
      <c r="L81" s="10" t="str">
        <f t="shared" si="5"/>
        <v>Pending</v>
      </c>
    </row>
    <row r="82" spans="1:12" x14ac:dyDescent="0.3">
      <c r="A82" s="5" t="s">
        <v>91</v>
      </c>
      <c r="B82" s="5" t="s">
        <v>93</v>
      </c>
      <c r="C82" s="5" t="s">
        <v>60</v>
      </c>
      <c r="D82" s="5" t="s">
        <v>207</v>
      </c>
      <c r="E82" s="5" t="s">
        <v>38</v>
      </c>
      <c r="F82" s="5"/>
      <c r="G82" s="6">
        <v>45836</v>
      </c>
      <c r="H82" s="5"/>
      <c r="I82" s="5"/>
      <c r="J82" s="15" t="str">
        <f>IF(ISNUMBER(IFERROR(INDEX('WEEKLY PULL-OUT SCHEDULE'!$T:$T,MATCH(K82,'WEEKLY PULL-OUT SCHEDULE'!$S:$S,0)),"")),"",IFERROR(INDEX('WEEKLY PULL-OUT SCHEDULE'!$T:$T,MATCH(K82,'WEEKLY PULL-OUT SCHEDULE'!$S:$S,0)),""))</f>
        <v>Completed</v>
      </c>
      <c r="K82" s="8" t="str">
        <f t="shared" si="4"/>
        <v>1043|M24</v>
      </c>
      <c r="L82" s="10" t="str">
        <f t="shared" si="5"/>
        <v>Pending</v>
      </c>
    </row>
    <row r="83" spans="1:12" x14ac:dyDescent="0.3">
      <c r="A83" s="11" t="s">
        <v>91</v>
      </c>
      <c r="B83" s="11" t="s">
        <v>93</v>
      </c>
      <c r="C83" s="11" t="s">
        <v>60</v>
      </c>
      <c r="D83" s="11" t="s">
        <v>208</v>
      </c>
      <c r="E83" s="11" t="s">
        <v>62</v>
      </c>
      <c r="F83" s="11"/>
      <c r="G83" s="12">
        <v>46019</v>
      </c>
      <c r="H83" s="11"/>
      <c r="I83" s="11"/>
      <c r="J83" s="15" t="str">
        <f>IF(ISNUMBER(IFERROR(INDEX('WEEKLY PULL-OUT SCHEDULE'!$T:$T,MATCH(K83,'WEEKLY PULL-OUT SCHEDULE'!$S:$S,0)),"")),"",IFERROR(INDEX('WEEKLY PULL-OUT SCHEDULE'!$T:$T,MATCH(K83,'WEEKLY PULL-OUT SCHEDULE'!$S:$S,0)),""))</f>
        <v>Pending</v>
      </c>
      <c r="K83" s="8" t="str">
        <f t="shared" si="4"/>
        <v>1043|M6</v>
      </c>
      <c r="L83" s="10" t="str">
        <f t="shared" si="5"/>
        <v>Pending</v>
      </c>
    </row>
    <row r="84" spans="1:12" x14ac:dyDescent="0.3">
      <c r="A84" s="5" t="s">
        <v>91</v>
      </c>
      <c r="B84" s="5" t="s">
        <v>93</v>
      </c>
      <c r="C84" s="5" t="s">
        <v>60</v>
      </c>
      <c r="D84" s="5" t="s">
        <v>209</v>
      </c>
      <c r="E84" s="5" t="s">
        <v>35</v>
      </c>
      <c r="F84" s="5"/>
      <c r="G84" s="6">
        <v>46183</v>
      </c>
      <c r="H84" s="5"/>
      <c r="I84" s="5"/>
      <c r="J84" s="15" t="str">
        <f>IF(ISNUMBER(IFERROR(INDEX('WEEKLY PULL-OUT SCHEDULE'!$T:$T,MATCH(K84,'WEEKLY PULL-OUT SCHEDULE'!$S:$S,0)),"")),"",IFERROR(INDEX('WEEKLY PULL-OUT SCHEDULE'!$T:$T,MATCH(K84,'WEEKLY PULL-OUT SCHEDULE'!$S:$S,0)),""))</f>
        <v>Not Completed</v>
      </c>
      <c r="K84" s="8" t="str">
        <f t="shared" si="4"/>
        <v>1043|M3</v>
      </c>
      <c r="L84" s="10" t="str">
        <f t="shared" si="5"/>
        <v>Pending</v>
      </c>
    </row>
    <row r="85" spans="1:12" x14ac:dyDescent="0.3">
      <c r="A85" s="11" t="s">
        <v>91</v>
      </c>
      <c r="B85" s="11" t="s">
        <v>94</v>
      </c>
      <c r="C85" s="11" t="s">
        <v>52</v>
      </c>
      <c r="D85" s="11" t="s">
        <v>210</v>
      </c>
      <c r="E85" s="11" t="s">
        <v>39</v>
      </c>
      <c r="F85" s="11"/>
      <c r="G85" s="12">
        <v>45809</v>
      </c>
      <c r="H85" s="11"/>
      <c r="I85" s="11"/>
      <c r="J85" s="15" t="str">
        <f>IF(ISNUMBER(IFERROR(INDEX('WEEKLY PULL-OUT SCHEDULE'!$T:$T,MATCH(K85,'WEEKLY PULL-OUT SCHEDULE'!$S:$S,0)),"")),"",IFERROR(INDEX('WEEKLY PULL-OUT SCHEDULE'!$T:$T,MATCH(K85,'WEEKLY PULL-OUT SCHEDULE'!$S:$S,0)),""))</f>
        <v>Pending</v>
      </c>
      <c r="K85" s="8" t="str">
        <f t="shared" si="4"/>
        <v>1046|M1</v>
      </c>
      <c r="L85" s="10" t="str">
        <f t="shared" si="5"/>
        <v>Pending</v>
      </c>
    </row>
    <row r="86" spans="1:12" x14ac:dyDescent="0.3">
      <c r="A86" s="5" t="s">
        <v>91</v>
      </c>
      <c r="B86" s="5" t="s">
        <v>94</v>
      </c>
      <c r="C86" s="5" t="s">
        <v>52</v>
      </c>
      <c r="D86" s="5" t="s">
        <v>211</v>
      </c>
      <c r="E86" s="5" t="s">
        <v>28</v>
      </c>
      <c r="F86" s="5"/>
      <c r="G86" s="6">
        <v>45928</v>
      </c>
      <c r="H86" s="5"/>
      <c r="I86" s="5"/>
      <c r="J86" s="15" t="str">
        <f>IF(ISNUMBER(IFERROR(INDEX('WEEKLY PULL-OUT SCHEDULE'!$T:$T,MATCH(K86,'WEEKLY PULL-OUT SCHEDULE'!$S:$S,0)),"")),"",IFERROR(INDEX('WEEKLY PULL-OUT SCHEDULE'!$T:$T,MATCH(K86,'WEEKLY PULL-OUT SCHEDULE'!$S:$S,0)),""))</f>
        <v>Pending</v>
      </c>
      <c r="K86" s="8" t="str">
        <f t="shared" si="4"/>
        <v>1046|M9</v>
      </c>
      <c r="L86" s="10" t="str">
        <f t="shared" si="5"/>
        <v>Pending</v>
      </c>
    </row>
    <row r="87" spans="1:12" x14ac:dyDescent="0.3">
      <c r="A87" s="11" t="s">
        <v>91</v>
      </c>
      <c r="B87" s="11" t="s">
        <v>94</v>
      </c>
      <c r="C87" s="11" t="s">
        <v>52</v>
      </c>
      <c r="D87" s="11" t="s">
        <v>212</v>
      </c>
      <c r="E87" s="11" t="s">
        <v>38</v>
      </c>
      <c r="F87" s="11"/>
      <c r="G87" s="12">
        <v>45869</v>
      </c>
      <c r="H87" s="11"/>
      <c r="I87" s="11"/>
      <c r="J87" s="15" t="str">
        <f>IF(ISNUMBER(IFERROR(INDEX('WEEKLY PULL-OUT SCHEDULE'!$T:$T,MATCH(K87,'WEEKLY PULL-OUT SCHEDULE'!$S:$S,0)),"")),"",IFERROR(INDEX('WEEKLY PULL-OUT SCHEDULE'!$T:$T,MATCH(K87,'WEEKLY PULL-OUT SCHEDULE'!$S:$S,0)),""))</f>
        <v>Pending</v>
      </c>
      <c r="K87" s="8" t="str">
        <f t="shared" si="4"/>
        <v>1046|M24</v>
      </c>
      <c r="L87" s="10" t="str">
        <f t="shared" si="5"/>
        <v>Pending</v>
      </c>
    </row>
    <row r="88" spans="1:12" x14ac:dyDescent="0.3">
      <c r="A88" s="5" t="s">
        <v>91</v>
      </c>
      <c r="B88" s="5" t="s">
        <v>94</v>
      </c>
      <c r="C88" s="5" t="s">
        <v>52</v>
      </c>
      <c r="D88" s="5" t="s">
        <v>213</v>
      </c>
      <c r="E88" s="5" t="s">
        <v>40</v>
      </c>
      <c r="F88" s="5"/>
      <c r="G88" s="6">
        <v>46097</v>
      </c>
      <c r="H88" s="5"/>
      <c r="I88" s="5"/>
      <c r="J88" s="15" t="str">
        <f>IF(ISNUMBER(IFERROR(INDEX('WEEKLY PULL-OUT SCHEDULE'!$T:$T,MATCH(K88,'WEEKLY PULL-OUT SCHEDULE'!$S:$S,0)),"")),"",IFERROR(INDEX('WEEKLY PULL-OUT SCHEDULE'!$T:$T,MATCH(K88,'WEEKLY PULL-OUT SCHEDULE'!$S:$S,0)),""))</f>
        <v>Pending</v>
      </c>
      <c r="K88" s="8" t="str">
        <f t="shared" si="4"/>
        <v>1046|M12</v>
      </c>
      <c r="L88" s="10" t="str">
        <f t="shared" si="5"/>
        <v>Pending</v>
      </c>
    </row>
    <row r="89" spans="1:12" x14ac:dyDescent="0.3">
      <c r="A89" s="11" t="s">
        <v>91</v>
      </c>
      <c r="B89" s="11" t="s">
        <v>95</v>
      </c>
      <c r="C89" s="11" t="s">
        <v>85</v>
      </c>
      <c r="D89" s="11" t="s">
        <v>214</v>
      </c>
      <c r="E89" s="11" t="s">
        <v>50</v>
      </c>
      <c r="F89" s="11"/>
      <c r="G89" s="12">
        <v>45921</v>
      </c>
      <c r="H89" s="11"/>
      <c r="I89" s="11"/>
      <c r="J89" s="15" t="str">
        <f>IF(ISNUMBER(IFERROR(INDEX('WEEKLY PULL-OUT SCHEDULE'!$T:$T,MATCH(K89,'WEEKLY PULL-OUT SCHEDULE'!$S:$S,0)),"")),"",IFERROR(INDEX('WEEKLY PULL-OUT SCHEDULE'!$T:$T,MATCH(K89,'WEEKLY PULL-OUT SCHEDULE'!$S:$S,0)),""))</f>
        <v>Completed</v>
      </c>
      <c r="K89" s="8" t="str">
        <f t="shared" si="4"/>
        <v>1055|M36</v>
      </c>
      <c r="L89" s="10" t="str">
        <f t="shared" si="5"/>
        <v>Pending</v>
      </c>
    </row>
    <row r="90" spans="1:12" x14ac:dyDescent="0.3">
      <c r="A90" s="5" t="s">
        <v>91</v>
      </c>
      <c r="B90" s="5" t="s">
        <v>95</v>
      </c>
      <c r="C90" s="5" t="s">
        <v>85</v>
      </c>
      <c r="D90" s="5" t="s">
        <v>215</v>
      </c>
      <c r="E90" s="5" t="s">
        <v>39</v>
      </c>
      <c r="F90" s="5"/>
      <c r="G90" s="6">
        <v>46088</v>
      </c>
      <c r="H90" s="5"/>
      <c r="I90" s="5"/>
      <c r="J90" s="15" t="str">
        <f>IF(ISNUMBER(IFERROR(INDEX('WEEKLY PULL-OUT SCHEDULE'!$T:$T,MATCH(K90,'WEEKLY PULL-OUT SCHEDULE'!$S:$S,0)),"")),"",IFERROR(INDEX('WEEKLY PULL-OUT SCHEDULE'!$T:$T,MATCH(K90,'WEEKLY PULL-OUT SCHEDULE'!$S:$S,0)),""))</f>
        <v>Not Completed</v>
      </c>
      <c r="K90" s="8" t="str">
        <f t="shared" si="4"/>
        <v>1055|M1</v>
      </c>
      <c r="L90" s="10" t="str">
        <f t="shared" si="5"/>
        <v>Pending</v>
      </c>
    </row>
    <row r="91" spans="1:12" x14ac:dyDescent="0.3">
      <c r="A91" s="11" t="s">
        <v>91</v>
      </c>
      <c r="B91" s="11" t="s">
        <v>95</v>
      </c>
      <c r="C91" s="11" t="s">
        <v>85</v>
      </c>
      <c r="D91" s="11" t="s">
        <v>216</v>
      </c>
      <c r="E91" s="11" t="s">
        <v>40</v>
      </c>
      <c r="F91" s="11"/>
      <c r="G91" s="12">
        <v>46016</v>
      </c>
      <c r="H91" s="11"/>
      <c r="I91" s="11"/>
      <c r="J91" s="15" t="str">
        <f>IF(ISNUMBER(IFERROR(INDEX('WEEKLY PULL-OUT SCHEDULE'!$T:$T,MATCH(K91,'WEEKLY PULL-OUT SCHEDULE'!$S:$S,0)),"")),"",IFERROR(INDEX('WEEKLY PULL-OUT SCHEDULE'!$T:$T,MATCH(K91,'WEEKLY PULL-OUT SCHEDULE'!$S:$S,0)),""))</f>
        <v>Pending</v>
      </c>
      <c r="K91" s="8" t="str">
        <f t="shared" si="4"/>
        <v>1055|M12</v>
      </c>
      <c r="L91" s="10" t="str">
        <f t="shared" si="5"/>
        <v>Pending</v>
      </c>
    </row>
    <row r="92" spans="1:12" x14ac:dyDescent="0.3">
      <c r="A92" s="5" t="s">
        <v>91</v>
      </c>
      <c r="B92" s="5" t="s">
        <v>95</v>
      </c>
      <c r="C92" s="5" t="s">
        <v>85</v>
      </c>
      <c r="D92" s="5" t="s">
        <v>217</v>
      </c>
      <c r="E92" s="5" t="s">
        <v>38</v>
      </c>
      <c r="F92" s="5"/>
      <c r="G92" s="6">
        <v>46136</v>
      </c>
      <c r="H92" s="5"/>
      <c r="I92" s="5"/>
      <c r="J92" s="15" t="str">
        <f>IF(ISNUMBER(IFERROR(INDEX('WEEKLY PULL-OUT SCHEDULE'!$T:$T,MATCH(K92,'WEEKLY PULL-OUT SCHEDULE'!$S:$S,0)),"")),"",IFERROR(INDEX('WEEKLY PULL-OUT SCHEDULE'!$T:$T,MATCH(K92,'WEEKLY PULL-OUT SCHEDULE'!$S:$S,0)),""))</f>
        <v>Not Completed</v>
      </c>
      <c r="K92" s="8" t="str">
        <f t="shared" si="4"/>
        <v>1055|M24</v>
      </c>
      <c r="L92" s="10" t="str">
        <f t="shared" si="5"/>
        <v>Pending</v>
      </c>
    </row>
    <row r="93" spans="1:12" x14ac:dyDescent="0.3">
      <c r="A93" s="11" t="s">
        <v>91</v>
      </c>
      <c r="B93" s="11" t="s">
        <v>95</v>
      </c>
      <c r="C93" s="11" t="s">
        <v>85</v>
      </c>
      <c r="D93" s="11" t="s">
        <v>218</v>
      </c>
      <c r="E93" s="11" t="s">
        <v>28</v>
      </c>
      <c r="F93" s="11"/>
      <c r="G93" s="12">
        <v>46209</v>
      </c>
      <c r="H93" s="11"/>
      <c r="I93" s="11"/>
      <c r="J93" s="15" t="str">
        <f>IF(ISNUMBER(IFERROR(INDEX('WEEKLY PULL-OUT SCHEDULE'!$T:$T,MATCH(K93,'WEEKLY PULL-OUT SCHEDULE'!$S:$S,0)),"")),"",IFERROR(INDEX('WEEKLY PULL-OUT SCHEDULE'!$T:$T,MATCH(K93,'WEEKLY PULL-OUT SCHEDULE'!$S:$S,0)),""))</f>
        <v>Pending</v>
      </c>
      <c r="K93" s="8" t="str">
        <f t="shared" si="4"/>
        <v>1055|M9</v>
      </c>
      <c r="L93" s="10" t="str">
        <f t="shared" si="5"/>
        <v>Pending</v>
      </c>
    </row>
    <row r="94" spans="1:12" x14ac:dyDescent="0.3">
      <c r="A94" s="5" t="s">
        <v>91</v>
      </c>
      <c r="B94" s="5" t="s">
        <v>95</v>
      </c>
      <c r="C94" s="5" t="s">
        <v>85</v>
      </c>
      <c r="D94" s="5" t="s">
        <v>219</v>
      </c>
      <c r="E94" s="5" t="s">
        <v>62</v>
      </c>
      <c r="F94" s="5"/>
      <c r="G94" s="6">
        <v>45852</v>
      </c>
      <c r="H94" s="5"/>
      <c r="I94" s="5"/>
      <c r="J94" s="15" t="str">
        <f>IF(ISNUMBER(IFERROR(INDEX('WEEKLY PULL-OUT SCHEDULE'!$T:$T,MATCH(K94,'WEEKLY PULL-OUT SCHEDULE'!$S:$S,0)),"")),"",IFERROR(INDEX('WEEKLY PULL-OUT SCHEDULE'!$T:$T,MATCH(K94,'WEEKLY PULL-OUT SCHEDULE'!$S:$S,0)),""))</f>
        <v>Pending</v>
      </c>
      <c r="K94" s="8" t="str">
        <f t="shared" si="4"/>
        <v>1055|M6</v>
      </c>
      <c r="L94" s="10" t="str">
        <f t="shared" si="5"/>
        <v>Pending</v>
      </c>
    </row>
    <row r="95" spans="1:12" x14ac:dyDescent="0.3">
      <c r="A95" s="11" t="s">
        <v>98</v>
      </c>
      <c r="B95" s="11" t="s">
        <v>99</v>
      </c>
      <c r="C95" s="11" t="s">
        <v>52</v>
      </c>
      <c r="D95" s="11" t="s">
        <v>220</v>
      </c>
      <c r="E95" s="11" t="s">
        <v>50</v>
      </c>
      <c r="F95" s="11"/>
      <c r="G95" s="11"/>
      <c r="H95" s="11"/>
      <c r="I95" s="11"/>
      <c r="J95" s="15" t="str">
        <f>IF(ISNUMBER(IFERROR(INDEX('WEEKLY PULL-OUT SCHEDULE'!$T:$T,MATCH(K95,'WEEKLY PULL-OUT SCHEDULE'!$S:$S,0)),"")),"",IFERROR(INDEX('WEEKLY PULL-OUT SCHEDULE'!$T:$T,MATCH(K95,'WEEKLY PULL-OUT SCHEDULE'!$S:$S,0)),""))</f>
        <v>Pending</v>
      </c>
      <c r="K95" s="8" t="str">
        <f t="shared" si="4"/>
        <v>1067|M36</v>
      </c>
      <c r="L95" s="10" t="str">
        <f t="shared" si="5"/>
        <v>Pending</v>
      </c>
    </row>
    <row r="96" spans="1:12" x14ac:dyDescent="0.3">
      <c r="A96" s="5" t="s">
        <v>98</v>
      </c>
      <c r="B96" s="5" t="s">
        <v>99</v>
      </c>
      <c r="C96" s="5" t="s">
        <v>52</v>
      </c>
      <c r="D96" s="5" t="s">
        <v>221</v>
      </c>
      <c r="E96" s="5" t="s">
        <v>38</v>
      </c>
      <c r="F96" s="5"/>
      <c r="G96" s="6">
        <v>46104</v>
      </c>
      <c r="H96" s="5"/>
      <c r="I96" s="5"/>
      <c r="J96" s="15" t="str">
        <f>IF(ISNUMBER(IFERROR(INDEX('WEEKLY PULL-OUT SCHEDULE'!$T:$T,MATCH(K96,'WEEKLY PULL-OUT SCHEDULE'!$S:$S,0)),"")),"",IFERROR(INDEX('WEEKLY PULL-OUT SCHEDULE'!$T:$T,MATCH(K96,'WEEKLY PULL-OUT SCHEDULE'!$S:$S,0)),""))</f>
        <v>Not Completed</v>
      </c>
      <c r="K96" s="8" t="str">
        <f t="shared" si="4"/>
        <v>1067|M24</v>
      </c>
      <c r="L96" s="10" t="str">
        <f t="shared" si="5"/>
        <v>Pending</v>
      </c>
    </row>
    <row r="97" spans="1:12" x14ac:dyDescent="0.3">
      <c r="A97" s="11" t="s">
        <v>98</v>
      </c>
      <c r="B97" s="11" t="s">
        <v>99</v>
      </c>
      <c r="C97" s="11" t="s">
        <v>52</v>
      </c>
      <c r="D97" s="11" t="s">
        <v>222</v>
      </c>
      <c r="E97" s="11" t="s">
        <v>39</v>
      </c>
      <c r="F97" s="11"/>
      <c r="G97" s="12">
        <v>45840</v>
      </c>
      <c r="H97" s="11"/>
      <c r="I97" s="11"/>
      <c r="J97" s="15" t="str">
        <f>IF(ISNUMBER(IFERROR(INDEX('WEEKLY PULL-OUT SCHEDULE'!$T:$T,MATCH(K97,'WEEKLY PULL-OUT SCHEDULE'!$S:$S,0)),"")),"",IFERROR(INDEX('WEEKLY PULL-OUT SCHEDULE'!$T:$T,MATCH(K97,'WEEKLY PULL-OUT SCHEDULE'!$S:$S,0)),""))</f>
        <v>Completed</v>
      </c>
      <c r="K97" s="8" t="str">
        <f t="shared" si="4"/>
        <v>1067|M1</v>
      </c>
      <c r="L97" s="10" t="str">
        <f t="shared" si="5"/>
        <v>Pending</v>
      </c>
    </row>
    <row r="98" spans="1:12" x14ac:dyDescent="0.3">
      <c r="A98" s="5" t="s">
        <v>98</v>
      </c>
      <c r="B98" s="5" t="s">
        <v>99</v>
      </c>
      <c r="C98" s="5" t="s">
        <v>52</v>
      </c>
      <c r="D98" s="5" t="s">
        <v>223</v>
      </c>
      <c r="E98" s="5" t="s">
        <v>35</v>
      </c>
      <c r="F98" s="5" t="s">
        <v>224</v>
      </c>
      <c r="G98" s="6">
        <v>46053</v>
      </c>
      <c r="H98" s="6">
        <v>46041</v>
      </c>
      <c r="I98" s="5" t="s">
        <v>225</v>
      </c>
      <c r="J98" s="15" t="str">
        <f>IF(ISNUMBER(IFERROR(INDEX('WEEKLY PULL-OUT SCHEDULE'!$T:$T,MATCH(K98,'WEEKLY PULL-OUT SCHEDULE'!$S:$S,0)),"")),"",IFERROR(INDEX('WEEKLY PULL-OUT SCHEDULE'!$T:$T,MATCH(K98,'WEEKLY PULL-OUT SCHEDULE'!$S:$S,0)),""))</f>
        <v>Pending</v>
      </c>
      <c r="K98" s="8" t="str">
        <f t="shared" si="4"/>
        <v>1067|M3</v>
      </c>
      <c r="L98" s="10" t="str">
        <f t="shared" si="5"/>
        <v>Issued</v>
      </c>
    </row>
    <row r="99" spans="1:12" x14ac:dyDescent="0.3">
      <c r="A99" s="11" t="s">
        <v>98</v>
      </c>
      <c r="B99" s="11" t="s">
        <v>99</v>
      </c>
      <c r="C99" s="11" t="s">
        <v>52</v>
      </c>
      <c r="D99" s="11" t="s">
        <v>226</v>
      </c>
      <c r="E99" s="11" t="s">
        <v>62</v>
      </c>
      <c r="F99" s="11"/>
      <c r="G99" s="12">
        <v>45989</v>
      </c>
      <c r="H99" s="11"/>
      <c r="I99" s="11"/>
      <c r="J99" s="15" t="str">
        <f>IF(ISNUMBER(IFERROR(INDEX('WEEKLY PULL-OUT SCHEDULE'!$T:$T,MATCH(K99,'WEEKLY PULL-OUT SCHEDULE'!$S:$S,0)),"")),"",IFERROR(INDEX('WEEKLY PULL-OUT SCHEDULE'!$T:$T,MATCH(K99,'WEEKLY PULL-OUT SCHEDULE'!$S:$S,0)),""))</f>
        <v>Pending</v>
      </c>
      <c r="K99" s="8" t="str">
        <f t="shared" si="4"/>
        <v>1067|M6</v>
      </c>
      <c r="L99" s="10" t="str">
        <f t="shared" si="5"/>
        <v>Pending</v>
      </c>
    </row>
    <row r="100" spans="1:12" x14ac:dyDescent="0.3">
      <c r="A100" s="5" t="s">
        <v>98</v>
      </c>
      <c r="B100" s="5" t="s">
        <v>99</v>
      </c>
      <c r="C100" s="5" t="s">
        <v>52</v>
      </c>
      <c r="D100" s="5" t="s">
        <v>227</v>
      </c>
      <c r="E100" s="5" t="s">
        <v>28</v>
      </c>
      <c r="F100" s="5"/>
      <c r="G100" s="6">
        <v>46005</v>
      </c>
      <c r="H100" s="5"/>
      <c r="I100" s="5"/>
      <c r="J100" s="15" t="str">
        <f>IF(ISNUMBER(IFERROR(INDEX('WEEKLY PULL-OUT SCHEDULE'!$T:$T,MATCH(K100,'WEEKLY PULL-OUT SCHEDULE'!$S:$S,0)),"")),"",IFERROR(INDEX('WEEKLY PULL-OUT SCHEDULE'!$T:$T,MATCH(K100,'WEEKLY PULL-OUT SCHEDULE'!$S:$S,0)),""))</f>
        <v>Pending</v>
      </c>
      <c r="K100" s="8" t="str">
        <f t="shared" si="4"/>
        <v>1067|M9</v>
      </c>
      <c r="L100" s="10" t="str">
        <f t="shared" si="5"/>
        <v>Pending</v>
      </c>
    </row>
    <row r="101" spans="1:12" x14ac:dyDescent="0.3">
      <c r="A101" s="11" t="s">
        <v>98</v>
      </c>
      <c r="B101" s="11" t="s">
        <v>100</v>
      </c>
      <c r="C101" s="11" t="s">
        <v>49</v>
      </c>
      <c r="D101" s="11" t="s">
        <v>228</v>
      </c>
      <c r="E101" s="11" t="s">
        <v>62</v>
      </c>
      <c r="F101" s="11"/>
      <c r="G101" s="12">
        <v>46071</v>
      </c>
      <c r="H101" s="11"/>
      <c r="I101" s="11"/>
      <c r="J101" s="15" t="str">
        <f>IF(ISNUMBER(IFERROR(INDEX('WEEKLY PULL-OUT SCHEDULE'!$T:$T,MATCH(K101,'WEEKLY PULL-OUT SCHEDULE'!$S:$S,0)),"")),"",IFERROR(INDEX('WEEKLY PULL-OUT SCHEDULE'!$T:$T,MATCH(K101,'WEEKLY PULL-OUT SCHEDULE'!$S:$S,0)),""))</f>
        <v>Pending</v>
      </c>
      <c r="K101" s="8" t="str">
        <f t="shared" si="4"/>
        <v>1086|M6</v>
      </c>
      <c r="L101" s="10" t="str">
        <f t="shared" si="5"/>
        <v>Pending</v>
      </c>
    </row>
    <row r="102" spans="1:12" x14ac:dyDescent="0.3">
      <c r="A102" s="5" t="s">
        <v>98</v>
      </c>
      <c r="B102" s="5" t="s">
        <v>100</v>
      </c>
      <c r="C102" s="5" t="s">
        <v>49</v>
      </c>
      <c r="D102" s="5" t="s">
        <v>229</v>
      </c>
      <c r="E102" s="5" t="s">
        <v>28</v>
      </c>
      <c r="F102" s="5"/>
      <c r="G102" s="6">
        <v>46190</v>
      </c>
      <c r="H102" s="5"/>
      <c r="I102" s="5"/>
      <c r="J102" s="15" t="str">
        <f>IF(ISNUMBER(IFERROR(INDEX('WEEKLY PULL-OUT SCHEDULE'!$T:$T,MATCH(K102,'WEEKLY PULL-OUT SCHEDULE'!$S:$S,0)),"")),"",IFERROR(INDEX('WEEKLY PULL-OUT SCHEDULE'!$T:$T,MATCH(K102,'WEEKLY PULL-OUT SCHEDULE'!$S:$S,0)),""))</f>
        <v>Completed</v>
      </c>
      <c r="K102" s="8" t="str">
        <f t="shared" si="4"/>
        <v>1086|M9</v>
      </c>
      <c r="L102" s="10" t="str">
        <f t="shared" si="5"/>
        <v>Pending</v>
      </c>
    </row>
    <row r="103" spans="1:12" x14ac:dyDescent="0.3">
      <c r="A103" s="11" t="s">
        <v>98</v>
      </c>
      <c r="B103" s="11" t="s">
        <v>100</v>
      </c>
      <c r="C103" s="11" t="s">
        <v>49</v>
      </c>
      <c r="D103" s="11" t="s">
        <v>230</v>
      </c>
      <c r="E103" s="11" t="s">
        <v>38</v>
      </c>
      <c r="F103" s="11"/>
      <c r="G103" s="12">
        <v>46238</v>
      </c>
      <c r="H103" s="11"/>
      <c r="I103" s="11"/>
      <c r="J103" s="15" t="str">
        <f>IF(ISNUMBER(IFERROR(INDEX('WEEKLY PULL-OUT SCHEDULE'!$T:$T,MATCH(K103,'WEEKLY PULL-OUT SCHEDULE'!$S:$S,0)),"")),"",IFERROR(INDEX('WEEKLY PULL-OUT SCHEDULE'!$T:$T,MATCH(K103,'WEEKLY PULL-OUT SCHEDULE'!$S:$S,0)),""))</f>
        <v>Pending</v>
      </c>
      <c r="K103" s="8" t="str">
        <f t="shared" si="4"/>
        <v>1086|M24</v>
      </c>
      <c r="L103" s="10" t="str">
        <f t="shared" si="5"/>
        <v>Pending</v>
      </c>
    </row>
    <row r="104" spans="1:12" x14ac:dyDescent="0.3">
      <c r="A104" s="5" t="s">
        <v>98</v>
      </c>
      <c r="B104" s="5" t="s">
        <v>100</v>
      </c>
      <c r="C104" s="5" t="s">
        <v>49</v>
      </c>
      <c r="D104" s="5" t="s">
        <v>231</v>
      </c>
      <c r="E104" s="5" t="s">
        <v>50</v>
      </c>
      <c r="F104" s="5"/>
      <c r="G104" s="5"/>
      <c r="H104" s="5"/>
      <c r="I104" s="5"/>
      <c r="J104" s="15" t="str">
        <f>IF(ISNUMBER(IFERROR(INDEX('WEEKLY PULL-OUT SCHEDULE'!$T:$T,MATCH(K104,'WEEKLY PULL-OUT SCHEDULE'!$S:$S,0)),"")),"",IFERROR(INDEX('WEEKLY PULL-OUT SCHEDULE'!$T:$T,MATCH(K104,'WEEKLY PULL-OUT SCHEDULE'!$S:$S,0)),""))</f>
        <v>Pending</v>
      </c>
      <c r="K104" s="8" t="str">
        <f t="shared" si="4"/>
        <v>1086|M36</v>
      </c>
      <c r="L104" s="10" t="str">
        <f t="shared" si="5"/>
        <v>Pending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A776-41BC-4958-8111-B587932F4D78}">
  <dimension ref="B2:N112"/>
  <sheetViews>
    <sheetView tabSelected="1" topLeftCell="C4" workbookViewId="0">
      <selection activeCell="K78" sqref="K78"/>
    </sheetView>
  </sheetViews>
  <sheetFormatPr baseColWidth="10" defaultRowHeight="14.4" x14ac:dyDescent="0.3"/>
  <cols>
    <col min="2" max="2" width="21.5546875" bestFit="1" customWidth="1"/>
    <col min="3" max="3" width="21.77734375" bestFit="1" customWidth="1"/>
    <col min="4" max="4" width="7.6640625" bestFit="1" customWidth="1"/>
    <col min="5" max="5" width="5.6640625" bestFit="1" customWidth="1"/>
    <col min="6" max="6" width="12.21875" bestFit="1" customWidth="1"/>
    <col min="10" max="10" width="27.77734375" bestFit="1" customWidth="1"/>
    <col min="11" max="11" width="21.77734375" bestFit="1" customWidth="1"/>
    <col min="12" max="12" width="14.109375" bestFit="1" customWidth="1"/>
    <col min="13" max="13" width="8" bestFit="1" customWidth="1"/>
    <col min="14" max="14" width="12.21875" bestFit="1" customWidth="1"/>
  </cols>
  <sheetData>
    <row r="2" spans="2:6" x14ac:dyDescent="0.3">
      <c r="B2" s="16" t="s">
        <v>22</v>
      </c>
      <c r="C2" t="s">
        <v>237</v>
      </c>
    </row>
    <row r="4" spans="2:6" x14ac:dyDescent="0.3">
      <c r="B4" s="16" t="s">
        <v>234</v>
      </c>
      <c r="C4" s="16" t="s">
        <v>235</v>
      </c>
    </row>
    <row r="5" spans="2:6" x14ac:dyDescent="0.3">
      <c r="B5" s="16" t="s">
        <v>232</v>
      </c>
      <c r="C5" t="s">
        <v>32</v>
      </c>
      <c r="D5" t="s">
        <v>44</v>
      </c>
      <c r="E5" t="s">
        <v>236</v>
      </c>
      <c r="F5" t="s">
        <v>233</v>
      </c>
    </row>
    <row r="6" spans="2:6" x14ac:dyDescent="0.3">
      <c r="B6" s="17" t="s">
        <v>98</v>
      </c>
      <c r="C6" s="18">
        <v>2</v>
      </c>
      <c r="D6" s="18">
        <v>2</v>
      </c>
      <c r="E6" s="18"/>
      <c r="F6" s="18">
        <v>4</v>
      </c>
    </row>
    <row r="7" spans="2:6" x14ac:dyDescent="0.3">
      <c r="B7" s="17" t="s">
        <v>55</v>
      </c>
      <c r="C7" s="18"/>
      <c r="D7" s="18"/>
      <c r="E7" s="18"/>
      <c r="F7" s="18"/>
    </row>
    <row r="8" spans="2:6" x14ac:dyDescent="0.3">
      <c r="B8" s="17" t="s">
        <v>83</v>
      </c>
      <c r="C8" s="18">
        <v>3</v>
      </c>
      <c r="D8" s="18">
        <v>1</v>
      </c>
      <c r="E8" s="18"/>
      <c r="F8" s="18">
        <v>4</v>
      </c>
    </row>
    <row r="9" spans="2:6" x14ac:dyDescent="0.3">
      <c r="B9" s="17" t="s">
        <v>64</v>
      </c>
      <c r="C9" s="18">
        <v>3</v>
      </c>
      <c r="D9" s="18">
        <v>2</v>
      </c>
      <c r="E9" s="18"/>
      <c r="F9" s="18">
        <v>5</v>
      </c>
    </row>
    <row r="10" spans="2:6" x14ac:dyDescent="0.3">
      <c r="B10" s="17" t="s">
        <v>91</v>
      </c>
      <c r="C10" s="18">
        <v>2</v>
      </c>
      <c r="D10" s="18">
        <v>3</v>
      </c>
      <c r="E10" s="18"/>
      <c r="F10" s="18">
        <v>5</v>
      </c>
    </row>
    <row r="11" spans="2:6" x14ac:dyDescent="0.3">
      <c r="B11" s="17" t="s">
        <v>25</v>
      </c>
      <c r="C11" s="18">
        <v>3</v>
      </c>
      <c r="D11" s="18">
        <v>3</v>
      </c>
      <c r="E11" s="18"/>
      <c r="F11" s="18">
        <v>6</v>
      </c>
    </row>
    <row r="12" spans="2:6" x14ac:dyDescent="0.3">
      <c r="B12" s="17" t="s">
        <v>74</v>
      </c>
      <c r="C12" s="18">
        <v>2</v>
      </c>
      <c r="D12" s="18">
        <v>4</v>
      </c>
      <c r="E12" s="18"/>
      <c r="F12" s="18">
        <v>6</v>
      </c>
    </row>
    <row r="13" spans="2:6" x14ac:dyDescent="0.3">
      <c r="B13" s="17" t="s">
        <v>78</v>
      </c>
      <c r="C13" s="18"/>
      <c r="D13" s="18">
        <v>3</v>
      </c>
      <c r="E13" s="18"/>
      <c r="F13" s="18">
        <v>3</v>
      </c>
    </row>
    <row r="14" spans="2:6" x14ac:dyDescent="0.3">
      <c r="B14" s="17" t="s">
        <v>233</v>
      </c>
      <c r="C14" s="18">
        <v>15</v>
      </c>
      <c r="D14" s="18">
        <v>18</v>
      </c>
      <c r="E14" s="18"/>
      <c r="F14" s="18">
        <v>33</v>
      </c>
    </row>
    <row r="22" spans="2:6" x14ac:dyDescent="0.3">
      <c r="B22" s="16" t="s">
        <v>22</v>
      </c>
      <c r="C22" t="s">
        <v>237</v>
      </c>
    </row>
    <row r="24" spans="2:6" x14ac:dyDescent="0.3">
      <c r="B24" s="16" t="s">
        <v>238</v>
      </c>
      <c r="C24" s="16" t="s">
        <v>235</v>
      </c>
    </row>
    <row r="25" spans="2:6" x14ac:dyDescent="0.3">
      <c r="B25" s="16" t="s">
        <v>232</v>
      </c>
      <c r="C25" t="s">
        <v>239</v>
      </c>
      <c r="D25" t="s">
        <v>240</v>
      </c>
      <c r="E25" t="s">
        <v>241</v>
      </c>
      <c r="F25" t="s">
        <v>233</v>
      </c>
    </row>
    <row r="26" spans="2:6" x14ac:dyDescent="0.3">
      <c r="B26" s="17" t="s">
        <v>98</v>
      </c>
      <c r="C26" s="18">
        <v>7</v>
      </c>
      <c r="D26" s="18">
        <v>5</v>
      </c>
      <c r="E26" s="18"/>
      <c r="F26" s="18">
        <v>12</v>
      </c>
    </row>
    <row r="27" spans="2:6" x14ac:dyDescent="0.3">
      <c r="B27" s="17" t="s">
        <v>55</v>
      </c>
      <c r="C27" s="18">
        <v>3</v>
      </c>
      <c r="D27" s="18">
        <v>2</v>
      </c>
      <c r="E27" s="18">
        <v>2</v>
      </c>
      <c r="F27" s="18">
        <v>7</v>
      </c>
    </row>
    <row r="28" spans="2:6" x14ac:dyDescent="0.3">
      <c r="B28" s="17" t="s">
        <v>83</v>
      </c>
      <c r="C28" s="18">
        <v>5</v>
      </c>
      <c r="D28" s="18">
        <v>8</v>
      </c>
      <c r="E28" s="18">
        <v>4</v>
      </c>
      <c r="F28" s="18">
        <v>17</v>
      </c>
    </row>
    <row r="29" spans="2:6" x14ac:dyDescent="0.3">
      <c r="B29" s="17" t="s">
        <v>64</v>
      </c>
      <c r="C29" s="18">
        <v>2</v>
      </c>
      <c r="D29" s="18">
        <v>12</v>
      </c>
      <c r="E29" s="18">
        <v>3</v>
      </c>
      <c r="F29" s="18">
        <v>17</v>
      </c>
    </row>
    <row r="30" spans="2:6" x14ac:dyDescent="0.3">
      <c r="B30" s="17" t="s">
        <v>91</v>
      </c>
      <c r="C30" s="18">
        <v>5</v>
      </c>
      <c r="D30" s="18">
        <v>11</v>
      </c>
      <c r="E30" s="18">
        <v>4</v>
      </c>
      <c r="F30" s="18">
        <v>20</v>
      </c>
    </row>
    <row r="31" spans="2:6" x14ac:dyDescent="0.3">
      <c r="B31" s="17" t="s">
        <v>25</v>
      </c>
      <c r="C31" s="18"/>
      <c r="D31" s="18">
        <v>11</v>
      </c>
      <c r="E31" s="18">
        <v>6</v>
      </c>
      <c r="F31" s="18">
        <v>17</v>
      </c>
    </row>
    <row r="32" spans="2:6" x14ac:dyDescent="0.3">
      <c r="B32" s="17" t="s">
        <v>74</v>
      </c>
      <c r="C32" s="18">
        <v>2</v>
      </c>
      <c r="D32" s="18">
        <v>5</v>
      </c>
      <c r="E32" s="18">
        <v>5</v>
      </c>
      <c r="F32" s="18">
        <v>12</v>
      </c>
    </row>
    <row r="33" spans="2:6" x14ac:dyDescent="0.3">
      <c r="B33" s="17" t="s">
        <v>78</v>
      </c>
      <c r="C33" s="18">
        <v>1</v>
      </c>
      <c r="D33" s="18">
        <v>3</v>
      </c>
      <c r="E33" s="18">
        <v>4</v>
      </c>
      <c r="F33" s="18">
        <v>8</v>
      </c>
    </row>
    <row r="34" spans="2:6" x14ac:dyDescent="0.3">
      <c r="B34" s="17" t="s">
        <v>233</v>
      </c>
      <c r="C34" s="18">
        <v>25</v>
      </c>
      <c r="D34" s="18">
        <v>57</v>
      </c>
      <c r="E34" s="18">
        <v>28</v>
      </c>
      <c r="F34" s="18">
        <v>110</v>
      </c>
    </row>
    <row r="43" spans="2:6" x14ac:dyDescent="0.3">
      <c r="B43" s="16" t="s">
        <v>244</v>
      </c>
      <c r="C43" s="16" t="s">
        <v>235</v>
      </c>
    </row>
    <row r="44" spans="2:6" x14ac:dyDescent="0.3">
      <c r="B44" s="16" t="s">
        <v>232</v>
      </c>
      <c r="C44" t="s">
        <v>242</v>
      </c>
      <c r="D44" t="s">
        <v>243</v>
      </c>
      <c r="E44" t="s">
        <v>233</v>
      </c>
    </row>
    <row r="45" spans="2:6" x14ac:dyDescent="0.3">
      <c r="B45" s="17" t="s">
        <v>98</v>
      </c>
      <c r="C45" s="18">
        <v>1</v>
      </c>
      <c r="D45" s="18">
        <v>9</v>
      </c>
      <c r="E45" s="18">
        <v>10</v>
      </c>
    </row>
    <row r="46" spans="2:6" x14ac:dyDescent="0.3">
      <c r="B46" s="17" t="s">
        <v>55</v>
      </c>
      <c r="C46" s="18">
        <v>1</v>
      </c>
      <c r="D46" s="18">
        <v>5</v>
      </c>
      <c r="E46" s="18">
        <v>6</v>
      </c>
    </row>
    <row r="47" spans="2:6" x14ac:dyDescent="0.3">
      <c r="B47" s="17" t="s">
        <v>83</v>
      </c>
      <c r="C47" s="18">
        <v>2</v>
      </c>
      <c r="D47" s="18">
        <v>13</v>
      </c>
      <c r="E47" s="18">
        <v>15</v>
      </c>
    </row>
    <row r="48" spans="2:6" x14ac:dyDescent="0.3">
      <c r="B48" s="17" t="s">
        <v>64</v>
      </c>
      <c r="C48" s="18">
        <v>2</v>
      </c>
      <c r="D48" s="18">
        <v>15</v>
      </c>
      <c r="E48" s="18">
        <v>17</v>
      </c>
    </row>
    <row r="49" spans="2:11" x14ac:dyDescent="0.3">
      <c r="B49" s="17" t="s">
        <v>91</v>
      </c>
      <c r="C49" s="18"/>
      <c r="D49" s="18">
        <v>20</v>
      </c>
      <c r="E49" s="18">
        <v>20</v>
      </c>
    </row>
    <row r="50" spans="2:11" x14ac:dyDescent="0.3">
      <c r="B50" s="17" t="s">
        <v>25</v>
      </c>
      <c r="C50" s="18">
        <v>2</v>
      </c>
      <c r="D50" s="18">
        <v>13</v>
      </c>
      <c r="E50" s="18">
        <v>15</v>
      </c>
    </row>
    <row r="51" spans="2:11" x14ac:dyDescent="0.3">
      <c r="B51" s="17" t="s">
        <v>74</v>
      </c>
      <c r="C51" s="18">
        <v>2</v>
      </c>
      <c r="D51" s="18">
        <v>8</v>
      </c>
      <c r="E51" s="18">
        <v>10</v>
      </c>
    </row>
    <row r="52" spans="2:11" x14ac:dyDescent="0.3">
      <c r="B52" s="17" t="s">
        <v>78</v>
      </c>
      <c r="C52" s="18">
        <v>1</v>
      </c>
      <c r="D52" s="18">
        <v>7</v>
      </c>
      <c r="E52" s="18">
        <v>8</v>
      </c>
    </row>
    <row r="53" spans="2:11" x14ac:dyDescent="0.3">
      <c r="B53" s="17" t="s">
        <v>233</v>
      </c>
      <c r="C53" s="18">
        <v>11</v>
      </c>
      <c r="D53" s="18">
        <v>90</v>
      </c>
      <c r="E53" s="18">
        <v>101</v>
      </c>
    </row>
    <row r="62" spans="2:11" x14ac:dyDescent="0.3">
      <c r="B62" s="16" t="s">
        <v>22</v>
      </c>
      <c r="C62" t="s">
        <v>237</v>
      </c>
      <c r="J62" s="16" t="s">
        <v>24</v>
      </c>
      <c r="K62" t="s">
        <v>237</v>
      </c>
    </row>
    <row r="64" spans="2:11" x14ac:dyDescent="0.3">
      <c r="B64" s="16" t="s">
        <v>238</v>
      </c>
      <c r="C64" s="16" t="s">
        <v>235</v>
      </c>
      <c r="J64" s="16" t="s">
        <v>290</v>
      </c>
      <c r="K64" s="16" t="s">
        <v>235</v>
      </c>
    </row>
    <row r="65" spans="2:14" x14ac:dyDescent="0.3">
      <c r="B65" s="16" t="s">
        <v>232</v>
      </c>
      <c r="C65" t="s">
        <v>239</v>
      </c>
      <c r="D65" t="s">
        <v>240</v>
      </c>
      <c r="E65" t="s">
        <v>241</v>
      </c>
      <c r="F65" t="s">
        <v>233</v>
      </c>
      <c r="J65" s="16" t="s">
        <v>232</v>
      </c>
      <c r="K65" t="s">
        <v>32</v>
      </c>
      <c r="L65" t="s">
        <v>44</v>
      </c>
      <c r="M65" t="s">
        <v>243</v>
      </c>
      <c r="N65" t="s">
        <v>233</v>
      </c>
    </row>
    <row r="66" spans="2:14" x14ac:dyDescent="0.3">
      <c r="B66" s="17"/>
      <c r="C66" s="18">
        <v>2</v>
      </c>
      <c r="D66" s="18">
        <v>11</v>
      </c>
      <c r="E66" s="18">
        <v>4</v>
      </c>
      <c r="F66" s="18">
        <v>17</v>
      </c>
      <c r="J66" s="17" t="s">
        <v>98</v>
      </c>
      <c r="K66" s="18">
        <v>2</v>
      </c>
      <c r="L66" s="18">
        <v>2</v>
      </c>
      <c r="M66" s="18">
        <v>8</v>
      </c>
      <c r="N66" s="18">
        <v>12</v>
      </c>
    </row>
    <row r="67" spans="2:14" x14ac:dyDescent="0.3">
      <c r="B67" s="17" t="s">
        <v>245</v>
      </c>
      <c r="C67" s="18">
        <v>2</v>
      </c>
      <c r="D67" s="18">
        <v>1</v>
      </c>
      <c r="E67" s="18">
        <v>1</v>
      </c>
      <c r="F67" s="18">
        <v>4</v>
      </c>
      <c r="J67" s="17" t="s">
        <v>55</v>
      </c>
      <c r="K67" s="18"/>
      <c r="L67" s="18"/>
      <c r="M67" s="18">
        <v>7</v>
      </c>
      <c r="N67" s="18">
        <v>7</v>
      </c>
    </row>
    <row r="68" spans="2:14" x14ac:dyDescent="0.3">
      <c r="B68" s="17" t="s">
        <v>246</v>
      </c>
      <c r="C68" s="18">
        <v>1</v>
      </c>
      <c r="D68" s="18">
        <v>3</v>
      </c>
      <c r="E68" s="18">
        <v>1</v>
      </c>
      <c r="F68" s="18">
        <v>5</v>
      </c>
      <c r="J68" s="17" t="s">
        <v>83</v>
      </c>
      <c r="K68" s="18">
        <v>3</v>
      </c>
      <c r="L68" s="18">
        <v>1</v>
      </c>
      <c r="M68" s="18">
        <v>13</v>
      </c>
      <c r="N68" s="18">
        <v>17</v>
      </c>
    </row>
    <row r="69" spans="2:14" x14ac:dyDescent="0.3">
      <c r="B69" s="17" t="s">
        <v>247</v>
      </c>
      <c r="C69" s="18">
        <v>1</v>
      </c>
      <c r="D69" s="18">
        <v>1</v>
      </c>
      <c r="E69" s="18">
        <v>1</v>
      </c>
      <c r="F69" s="18">
        <v>3</v>
      </c>
      <c r="J69" s="17" t="s">
        <v>64</v>
      </c>
      <c r="K69" s="18">
        <v>3</v>
      </c>
      <c r="L69" s="18">
        <v>2</v>
      </c>
      <c r="M69" s="18">
        <v>12</v>
      </c>
      <c r="N69" s="18">
        <v>17</v>
      </c>
    </row>
    <row r="70" spans="2:14" x14ac:dyDescent="0.3">
      <c r="B70" s="17" t="s">
        <v>248</v>
      </c>
      <c r="C70" s="18">
        <v>1</v>
      </c>
      <c r="D70" s="18">
        <v>2</v>
      </c>
      <c r="E70" s="18">
        <v>1</v>
      </c>
      <c r="F70" s="18">
        <v>4</v>
      </c>
      <c r="J70" s="17" t="s">
        <v>91</v>
      </c>
      <c r="K70" s="18">
        <v>2</v>
      </c>
      <c r="L70" s="18">
        <v>3</v>
      </c>
      <c r="M70" s="18">
        <v>15</v>
      </c>
      <c r="N70" s="18">
        <v>20</v>
      </c>
    </row>
    <row r="71" spans="2:14" x14ac:dyDescent="0.3">
      <c r="B71" s="17" t="s">
        <v>249</v>
      </c>
      <c r="C71" s="18"/>
      <c r="D71" s="18"/>
      <c r="E71" s="18">
        <v>1</v>
      </c>
      <c r="F71" s="18">
        <v>1</v>
      </c>
      <c r="J71" s="17" t="s">
        <v>25</v>
      </c>
      <c r="K71" s="18">
        <v>3</v>
      </c>
      <c r="L71" s="18">
        <v>3</v>
      </c>
      <c r="M71" s="18">
        <v>11</v>
      </c>
      <c r="N71" s="18">
        <v>17</v>
      </c>
    </row>
    <row r="72" spans="2:14" x14ac:dyDescent="0.3">
      <c r="B72" s="17" t="s">
        <v>250</v>
      </c>
      <c r="C72" s="18">
        <v>2</v>
      </c>
      <c r="D72" s="18">
        <v>3</v>
      </c>
      <c r="E72" s="18"/>
      <c r="F72" s="18">
        <v>5</v>
      </c>
      <c r="J72" s="17" t="s">
        <v>74</v>
      </c>
      <c r="K72" s="18">
        <v>2</v>
      </c>
      <c r="L72" s="18">
        <v>4</v>
      </c>
      <c r="M72" s="18">
        <v>6</v>
      </c>
      <c r="N72" s="18">
        <v>12</v>
      </c>
    </row>
    <row r="73" spans="2:14" x14ac:dyDescent="0.3">
      <c r="B73" s="17" t="s">
        <v>251</v>
      </c>
      <c r="C73" s="18"/>
      <c r="D73" s="18">
        <v>1</v>
      </c>
      <c r="E73" s="18"/>
      <c r="F73" s="18">
        <v>1</v>
      </c>
      <c r="J73" s="17" t="s">
        <v>78</v>
      </c>
      <c r="K73" s="18"/>
      <c r="L73" s="18">
        <v>3</v>
      </c>
      <c r="M73" s="18">
        <v>5</v>
      </c>
      <c r="N73" s="18">
        <v>8</v>
      </c>
    </row>
    <row r="74" spans="2:14" x14ac:dyDescent="0.3">
      <c r="B74" s="17" t="s">
        <v>252</v>
      </c>
      <c r="C74" s="18"/>
      <c r="D74" s="18"/>
      <c r="E74" s="18">
        <v>1</v>
      </c>
      <c r="F74" s="18">
        <v>1</v>
      </c>
      <c r="J74" s="17" t="s">
        <v>233</v>
      </c>
      <c r="K74" s="18">
        <v>15</v>
      </c>
      <c r="L74" s="18">
        <v>18</v>
      </c>
      <c r="M74" s="18">
        <v>77</v>
      </c>
      <c r="N74" s="18">
        <v>110</v>
      </c>
    </row>
    <row r="75" spans="2:14" x14ac:dyDescent="0.3">
      <c r="B75" s="17" t="s">
        <v>253</v>
      </c>
      <c r="C75" s="18"/>
      <c r="D75" s="18">
        <v>1</v>
      </c>
      <c r="E75" s="18"/>
      <c r="F75" s="18">
        <v>1</v>
      </c>
    </row>
    <row r="76" spans="2:14" x14ac:dyDescent="0.3">
      <c r="B76" s="17" t="s">
        <v>254</v>
      </c>
      <c r="C76" s="18"/>
      <c r="D76" s="18"/>
      <c r="E76" s="18">
        <v>1</v>
      </c>
      <c r="F76" s="18">
        <v>1</v>
      </c>
    </row>
    <row r="77" spans="2:14" x14ac:dyDescent="0.3">
      <c r="B77" s="17" t="s">
        <v>255</v>
      </c>
      <c r="C77" s="18"/>
      <c r="D77" s="18"/>
      <c r="E77" s="18">
        <v>1</v>
      </c>
      <c r="F77" s="18">
        <v>1</v>
      </c>
    </row>
    <row r="78" spans="2:14" x14ac:dyDescent="0.3">
      <c r="B78" s="17" t="s">
        <v>256</v>
      </c>
      <c r="C78" s="18">
        <v>2</v>
      </c>
      <c r="D78" s="18">
        <v>1</v>
      </c>
      <c r="E78" s="18">
        <v>2</v>
      </c>
      <c r="F78" s="18">
        <v>5</v>
      </c>
    </row>
    <row r="79" spans="2:14" x14ac:dyDescent="0.3">
      <c r="B79" s="17" t="s">
        <v>257</v>
      </c>
      <c r="C79" s="18">
        <v>1</v>
      </c>
      <c r="D79" s="18"/>
      <c r="E79" s="18">
        <v>3</v>
      </c>
      <c r="F79" s="18">
        <v>4</v>
      </c>
    </row>
    <row r="80" spans="2:14" x14ac:dyDescent="0.3">
      <c r="B80" s="17" t="s">
        <v>258</v>
      </c>
      <c r="C80" s="18">
        <v>1</v>
      </c>
      <c r="D80" s="18">
        <v>2</v>
      </c>
      <c r="E80" s="18">
        <v>1</v>
      </c>
      <c r="F80" s="18">
        <v>4</v>
      </c>
    </row>
    <row r="81" spans="2:6" x14ac:dyDescent="0.3">
      <c r="B81" s="17" t="s">
        <v>259</v>
      </c>
      <c r="C81" s="18"/>
      <c r="D81" s="18"/>
      <c r="E81" s="18">
        <v>1</v>
      </c>
      <c r="F81" s="18">
        <v>1</v>
      </c>
    </row>
    <row r="82" spans="2:6" x14ac:dyDescent="0.3">
      <c r="B82" s="17" t="s">
        <v>260</v>
      </c>
      <c r="C82" s="18">
        <v>1</v>
      </c>
      <c r="D82" s="18">
        <v>2</v>
      </c>
      <c r="E82" s="18">
        <v>1</v>
      </c>
      <c r="F82" s="18">
        <v>4</v>
      </c>
    </row>
    <row r="83" spans="2:6" x14ac:dyDescent="0.3">
      <c r="B83" s="17" t="s">
        <v>261</v>
      </c>
      <c r="C83" s="18"/>
      <c r="D83" s="18">
        <v>1</v>
      </c>
      <c r="E83" s="18"/>
      <c r="F83" s="18">
        <v>1</v>
      </c>
    </row>
    <row r="84" spans="2:6" x14ac:dyDescent="0.3">
      <c r="B84" s="17" t="s">
        <v>262</v>
      </c>
      <c r="C84" s="18"/>
      <c r="D84" s="18">
        <v>1</v>
      </c>
      <c r="E84" s="18">
        <v>1</v>
      </c>
      <c r="F84" s="18">
        <v>2</v>
      </c>
    </row>
    <row r="85" spans="2:6" x14ac:dyDescent="0.3">
      <c r="B85" s="17" t="s">
        <v>263</v>
      </c>
      <c r="C85" s="18"/>
      <c r="D85" s="18">
        <v>1</v>
      </c>
      <c r="E85" s="18"/>
      <c r="F85" s="18">
        <v>1</v>
      </c>
    </row>
    <row r="86" spans="2:6" x14ac:dyDescent="0.3">
      <c r="B86" s="17" t="s">
        <v>264</v>
      </c>
      <c r="C86" s="18"/>
      <c r="D86" s="18">
        <v>2</v>
      </c>
      <c r="E86" s="18"/>
      <c r="F86" s="18">
        <v>2</v>
      </c>
    </row>
    <row r="87" spans="2:6" x14ac:dyDescent="0.3">
      <c r="B87" s="17" t="s">
        <v>265</v>
      </c>
      <c r="C87" s="18">
        <v>1</v>
      </c>
      <c r="D87" s="18">
        <v>1</v>
      </c>
      <c r="E87" s="18"/>
      <c r="F87" s="18">
        <v>2</v>
      </c>
    </row>
    <row r="88" spans="2:6" x14ac:dyDescent="0.3">
      <c r="B88" s="17" t="s">
        <v>266</v>
      </c>
      <c r="C88" s="18"/>
      <c r="D88" s="18">
        <v>2</v>
      </c>
      <c r="E88" s="18"/>
      <c r="F88" s="18">
        <v>2</v>
      </c>
    </row>
    <row r="89" spans="2:6" x14ac:dyDescent="0.3">
      <c r="B89" s="17" t="s">
        <v>267</v>
      </c>
      <c r="C89" s="18"/>
      <c r="D89" s="18">
        <v>3</v>
      </c>
      <c r="E89" s="18"/>
      <c r="F89" s="18">
        <v>3</v>
      </c>
    </row>
    <row r="90" spans="2:6" x14ac:dyDescent="0.3">
      <c r="B90" s="17" t="s">
        <v>268</v>
      </c>
      <c r="C90" s="18">
        <v>2</v>
      </c>
      <c r="D90" s="18"/>
      <c r="E90" s="18"/>
      <c r="F90" s="18">
        <v>2</v>
      </c>
    </row>
    <row r="91" spans="2:6" x14ac:dyDescent="0.3">
      <c r="B91" s="17" t="s">
        <v>269</v>
      </c>
      <c r="C91" s="18"/>
      <c r="D91" s="18">
        <v>4</v>
      </c>
      <c r="E91" s="18"/>
      <c r="F91" s="18">
        <v>4</v>
      </c>
    </row>
    <row r="92" spans="2:6" x14ac:dyDescent="0.3">
      <c r="B92" s="17" t="s">
        <v>270</v>
      </c>
      <c r="C92" s="18">
        <v>1</v>
      </c>
      <c r="D92" s="18"/>
      <c r="E92" s="18"/>
      <c r="F92" s="18">
        <v>1</v>
      </c>
    </row>
    <row r="93" spans="2:6" x14ac:dyDescent="0.3">
      <c r="B93" s="17" t="s">
        <v>271</v>
      </c>
      <c r="C93" s="18"/>
      <c r="D93" s="18">
        <v>2</v>
      </c>
      <c r="E93" s="18">
        <v>1</v>
      </c>
      <c r="F93" s="18">
        <v>3</v>
      </c>
    </row>
    <row r="94" spans="2:6" x14ac:dyDescent="0.3">
      <c r="B94" s="17" t="s">
        <v>272</v>
      </c>
      <c r="C94" s="18"/>
      <c r="D94" s="18">
        <v>2</v>
      </c>
      <c r="E94" s="18"/>
      <c r="F94" s="18">
        <v>2</v>
      </c>
    </row>
    <row r="95" spans="2:6" x14ac:dyDescent="0.3">
      <c r="B95" s="17" t="s">
        <v>273</v>
      </c>
      <c r="C95" s="18">
        <v>1</v>
      </c>
      <c r="D95" s="18"/>
      <c r="E95" s="18">
        <v>1</v>
      </c>
      <c r="F95" s="18">
        <v>2</v>
      </c>
    </row>
    <row r="96" spans="2:6" x14ac:dyDescent="0.3">
      <c r="B96" s="17" t="s">
        <v>274</v>
      </c>
      <c r="C96" s="18">
        <v>1</v>
      </c>
      <c r="D96" s="18"/>
      <c r="E96" s="18"/>
      <c r="F96" s="18">
        <v>1</v>
      </c>
    </row>
    <row r="97" spans="2:6" x14ac:dyDescent="0.3">
      <c r="B97" s="17" t="s">
        <v>275</v>
      </c>
      <c r="C97" s="18"/>
      <c r="D97" s="18">
        <v>1</v>
      </c>
      <c r="E97" s="18"/>
      <c r="F97" s="18">
        <v>1</v>
      </c>
    </row>
    <row r="98" spans="2:6" x14ac:dyDescent="0.3">
      <c r="B98" s="17" t="s">
        <v>276</v>
      </c>
      <c r="C98" s="18">
        <v>1</v>
      </c>
      <c r="D98" s="18"/>
      <c r="E98" s="18">
        <v>1</v>
      </c>
      <c r="F98" s="18">
        <v>2</v>
      </c>
    </row>
    <row r="99" spans="2:6" x14ac:dyDescent="0.3">
      <c r="B99" s="17" t="s">
        <v>277</v>
      </c>
      <c r="C99" s="18"/>
      <c r="D99" s="18">
        <v>2</v>
      </c>
      <c r="E99" s="18"/>
      <c r="F99" s="18">
        <v>2</v>
      </c>
    </row>
    <row r="100" spans="2:6" x14ac:dyDescent="0.3">
      <c r="B100" s="17" t="s">
        <v>278</v>
      </c>
      <c r="C100" s="18">
        <v>2</v>
      </c>
      <c r="D100" s="18"/>
      <c r="E100" s="18"/>
      <c r="F100" s="18">
        <v>2</v>
      </c>
    </row>
    <row r="101" spans="2:6" x14ac:dyDescent="0.3">
      <c r="B101" s="17" t="s">
        <v>279</v>
      </c>
      <c r="C101" s="18">
        <v>1</v>
      </c>
      <c r="D101" s="18"/>
      <c r="E101" s="18"/>
      <c r="F101" s="18">
        <v>1</v>
      </c>
    </row>
    <row r="102" spans="2:6" x14ac:dyDescent="0.3">
      <c r="B102" s="17" t="s">
        <v>280</v>
      </c>
      <c r="C102" s="18"/>
      <c r="D102" s="18">
        <v>1</v>
      </c>
      <c r="E102" s="18">
        <v>1</v>
      </c>
      <c r="F102" s="18">
        <v>2</v>
      </c>
    </row>
    <row r="103" spans="2:6" x14ac:dyDescent="0.3">
      <c r="B103" s="17" t="s">
        <v>281</v>
      </c>
      <c r="C103" s="18"/>
      <c r="D103" s="18"/>
      <c r="E103" s="18">
        <v>1</v>
      </c>
      <c r="F103" s="18">
        <v>1</v>
      </c>
    </row>
    <row r="104" spans="2:6" x14ac:dyDescent="0.3">
      <c r="B104" s="17" t="s">
        <v>282</v>
      </c>
      <c r="C104" s="18"/>
      <c r="D104" s="18"/>
      <c r="E104" s="18">
        <v>1</v>
      </c>
      <c r="F104" s="18">
        <v>1</v>
      </c>
    </row>
    <row r="105" spans="2:6" x14ac:dyDescent="0.3">
      <c r="B105" s="17" t="s">
        <v>283</v>
      </c>
      <c r="C105" s="18"/>
      <c r="D105" s="18">
        <v>1</v>
      </c>
      <c r="E105" s="18"/>
      <c r="F105" s="18">
        <v>1</v>
      </c>
    </row>
    <row r="106" spans="2:6" x14ac:dyDescent="0.3">
      <c r="B106" s="17" t="s">
        <v>284</v>
      </c>
      <c r="C106" s="18"/>
      <c r="D106" s="18">
        <v>1</v>
      </c>
      <c r="E106" s="18"/>
      <c r="F106" s="18">
        <v>1</v>
      </c>
    </row>
    <row r="107" spans="2:6" x14ac:dyDescent="0.3">
      <c r="B107" s="17" t="s">
        <v>285</v>
      </c>
      <c r="C107" s="18"/>
      <c r="D107" s="18">
        <v>1</v>
      </c>
      <c r="E107" s="18">
        <v>1</v>
      </c>
      <c r="F107" s="18">
        <v>2</v>
      </c>
    </row>
    <row r="108" spans="2:6" x14ac:dyDescent="0.3">
      <c r="B108" s="17" t="s">
        <v>286</v>
      </c>
      <c r="C108" s="18"/>
      <c r="D108" s="18">
        <v>1</v>
      </c>
      <c r="E108" s="18"/>
      <c r="F108" s="18">
        <v>1</v>
      </c>
    </row>
    <row r="109" spans="2:6" x14ac:dyDescent="0.3">
      <c r="B109" s="17" t="s">
        <v>287</v>
      </c>
      <c r="C109" s="18">
        <v>1</v>
      </c>
      <c r="D109" s="18"/>
      <c r="E109" s="18"/>
      <c r="F109" s="18">
        <v>1</v>
      </c>
    </row>
    <row r="110" spans="2:6" x14ac:dyDescent="0.3">
      <c r="B110" s="17" t="s">
        <v>288</v>
      </c>
      <c r="C110" s="18"/>
      <c r="D110" s="18">
        <v>1</v>
      </c>
      <c r="E110" s="18"/>
      <c r="F110" s="18">
        <v>1</v>
      </c>
    </row>
    <row r="111" spans="2:6" x14ac:dyDescent="0.3">
      <c r="B111" s="17" t="s">
        <v>289</v>
      </c>
      <c r="C111" s="18"/>
      <c r="D111" s="18">
        <v>1</v>
      </c>
      <c r="E111" s="18"/>
      <c r="F111" s="18">
        <v>1</v>
      </c>
    </row>
    <row r="112" spans="2:6" x14ac:dyDescent="0.3">
      <c r="B112" s="17" t="s">
        <v>233</v>
      </c>
      <c r="C112" s="18">
        <v>25</v>
      </c>
      <c r="D112" s="18">
        <v>57</v>
      </c>
      <c r="E112" s="18">
        <v>28</v>
      </c>
      <c r="F112" s="18">
        <v>110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WEEKLY PULL-OUT SCHEDULE</vt:lpstr>
      <vt:lpstr>INVOICE &amp; REPORT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Braian Bernal</cp:lastModifiedBy>
  <cp:revision>0</cp:revision>
  <dcterms:created xsi:type="dcterms:W3CDTF">2026-06-14T02:49:52Z</dcterms:created>
  <dcterms:modified xsi:type="dcterms:W3CDTF">2026-06-14T07:33:05Z</dcterms:modified>
  <dc:language>en-US</dc:language>
</cp:coreProperties>
</file>